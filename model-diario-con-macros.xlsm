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QSISTEMAS\Desktop\Compuservis\"/>
    </mc:Choice>
  </mc:AlternateContent>
  <bookViews>
    <workbookView xWindow="11895" yWindow="-105" windowWidth="12165" windowHeight="10470" tabRatio="405"/>
  </bookViews>
  <sheets>
    <sheet name="Por Horas" sheetId="1" r:id="rId1"/>
    <sheet name="Por Departamento" sheetId="2" r:id="rId2"/>
    <sheet name="Por Departamento (2)" sheetId="3" state="hidden" r:id="rId3"/>
  </sheets>
  <definedNames>
    <definedName name="_xlnm.Print_Area" localSheetId="1">'Por Departamento'!$A$1:$AM$42</definedName>
    <definedName name="_xlnm.Print_Area" localSheetId="2">'Por Departamento (2)'!$AL$3:$AP$22</definedName>
    <definedName name="_xlnm.Print_Area" localSheetId="0">'Por Horas'!$A$1:$F$56</definedName>
    <definedName name="Z_22025D35_FBC9_4749_A019_EF1F1F0642C2_.wvu.PrintArea" localSheetId="1" hidden="1">'Por Departamento'!$A$1:$AM$42</definedName>
    <definedName name="Z_22025D35_FBC9_4749_A019_EF1F1F0642C2_.wvu.PrintArea" localSheetId="2" hidden="1">'Por Departamento (2)'!$AL$3:$AP$22</definedName>
  </definedNames>
  <calcPr calcId="152511"/>
  <customWorkbookViews>
    <customWorkbookView name="Model" guid="{22025D35-FBC9-4749-A019-EF1F1F0642C2}" includeHiddenRowCol="0" maximized="1" xWindow="-8" yWindow="-8" windowWidth="1936" windowHeight="1056" tabRatio="405" activeSheetId="2"/>
  </customWorkbookViews>
</workbook>
</file>

<file path=xl/calcChain.xml><?xml version="1.0" encoding="utf-8"?>
<calcChain xmlns="http://schemas.openxmlformats.org/spreadsheetml/2006/main">
  <c r="F46" i="1" l="1"/>
  <c r="E49" i="1" l="1"/>
  <c r="D11" i="1" l="1"/>
  <c r="C17" i="2" l="1"/>
  <c r="C16" i="2"/>
  <c r="C15" i="2"/>
  <c r="C14" i="2"/>
  <c r="AJ17" i="2"/>
  <c r="AJ16" i="2"/>
  <c r="AJ15" i="2"/>
  <c r="AJ14" i="2"/>
  <c r="AJ13" i="2"/>
  <c r="AJ12" i="2"/>
  <c r="AJ11" i="2"/>
  <c r="AJ10" i="2"/>
  <c r="AJ9" i="2"/>
  <c r="C13" i="2"/>
  <c r="C12" i="2"/>
  <c r="C11" i="2"/>
  <c r="C10" i="2"/>
  <c r="C9" i="2"/>
  <c r="C8" i="2"/>
  <c r="AJ8" i="2"/>
  <c r="AJ7" i="2"/>
  <c r="C7" i="2"/>
  <c r="AJ6" i="2"/>
  <c r="C6" i="2"/>
  <c r="AM17" i="2" l="1"/>
  <c r="AO17" i="2" s="1"/>
  <c r="D17" i="2" s="1"/>
  <c r="AM8" i="2"/>
  <c r="AO8" i="2" s="1"/>
  <c r="D8" i="2" s="1"/>
  <c r="AM9" i="2"/>
  <c r="AO9" i="2" s="1"/>
  <c r="D9" i="2" s="1"/>
  <c r="AM6" i="2"/>
  <c r="AM7" i="2"/>
  <c r="AO7" i="2" s="1"/>
  <c r="D7" i="2" s="1"/>
  <c r="AM15" i="2"/>
  <c r="AO15" i="2" s="1"/>
  <c r="D15" i="2" s="1"/>
  <c r="AM13" i="2"/>
  <c r="AO13" i="2" s="1"/>
  <c r="D13" i="2" s="1"/>
  <c r="AM11" i="2"/>
  <c r="AO11" i="2" s="1"/>
  <c r="D11" i="2" s="1"/>
  <c r="AM16" i="2"/>
  <c r="AO16" i="2" s="1"/>
  <c r="D16" i="2" s="1"/>
  <c r="AM14" i="2"/>
  <c r="AO14" i="2" s="1"/>
  <c r="D14" i="2" s="1"/>
  <c r="AM12" i="2"/>
  <c r="AO12" i="2" s="1"/>
  <c r="D12" i="2" s="1"/>
  <c r="AM10" i="2"/>
  <c r="AO10" i="2" s="1"/>
  <c r="D10" i="2" s="1"/>
  <c r="A17" i="2"/>
  <c r="A16" i="2"/>
  <c r="A15" i="2"/>
  <c r="A14" i="2"/>
  <c r="A13" i="2"/>
  <c r="A12" i="2"/>
  <c r="A11" i="2"/>
  <c r="A10" i="2"/>
  <c r="A9" i="2"/>
  <c r="A8" i="2"/>
  <c r="A7" i="2"/>
  <c r="A6" i="2"/>
  <c r="E10" i="2" l="1"/>
  <c r="G10" i="2"/>
  <c r="H10" i="2" s="1"/>
  <c r="G11" i="2"/>
  <c r="H11" i="2" s="1"/>
  <c r="E11" i="2"/>
  <c r="G15" i="2"/>
  <c r="H15" i="2" s="1"/>
  <c r="E15" i="2"/>
  <c r="E7" i="2"/>
  <c r="G7" i="2"/>
  <c r="H7" i="2" s="1"/>
  <c r="E8" i="2"/>
  <c r="G8" i="2"/>
  <c r="H8" i="2" s="1"/>
  <c r="E12" i="2"/>
  <c r="G12" i="2"/>
  <c r="H12" i="2" s="1"/>
  <c r="E16" i="2"/>
  <c r="G16" i="2"/>
  <c r="H16" i="2" s="1"/>
  <c r="E13" i="2"/>
  <c r="G13" i="2"/>
  <c r="H13" i="2" s="1"/>
  <c r="G9" i="2"/>
  <c r="H9" i="2" s="1"/>
  <c r="E9" i="2"/>
  <c r="E17" i="2"/>
  <c r="G17" i="2"/>
  <c r="H17" i="2" s="1"/>
  <c r="E14" i="2"/>
  <c r="G14" i="2"/>
  <c r="H14" i="2" s="1"/>
  <c r="AO6" i="2"/>
  <c r="D6" i="2" s="1"/>
  <c r="AM19" i="2"/>
  <c r="AI52" i="3"/>
  <c r="AA52" i="3"/>
  <c r="AO7" i="3" s="1"/>
  <c r="W52" i="3"/>
  <c r="K52" i="3"/>
  <c r="AO13" i="3" s="1"/>
  <c r="C52" i="3"/>
  <c r="G50" i="3"/>
  <c r="G52" i="3" s="1"/>
  <c r="AO11" i="3" s="1"/>
  <c r="G45" i="3"/>
  <c r="W44" i="3"/>
  <c r="G44" i="3"/>
  <c r="H42" i="3"/>
  <c r="D42" i="3"/>
  <c r="AJ41" i="3"/>
  <c r="AF41" i="3"/>
  <c r="AB41" i="3"/>
  <c r="X41" i="3"/>
  <c r="T41" i="3"/>
  <c r="P41" i="3"/>
  <c r="L41" i="3"/>
  <c r="H41" i="3"/>
  <c r="D41" i="3"/>
  <c r="AJ40" i="3"/>
  <c r="AF40" i="3"/>
  <c r="AB40" i="3"/>
  <c r="X40" i="3"/>
  <c r="T40" i="3"/>
  <c r="P40" i="3"/>
  <c r="L40" i="3"/>
  <c r="H40" i="3"/>
  <c r="D40" i="3"/>
  <c r="AJ39" i="3"/>
  <c r="AF39" i="3"/>
  <c r="AB39" i="3"/>
  <c r="X39" i="3"/>
  <c r="T39" i="3"/>
  <c r="P39" i="3"/>
  <c r="L39" i="3"/>
  <c r="H39" i="3"/>
  <c r="D39" i="3"/>
  <c r="AJ38" i="3"/>
  <c r="AF38" i="3"/>
  <c r="AB38" i="3"/>
  <c r="X38" i="3"/>
  <c r="T38" i="3"/>
  <c r="P38" i="3"/>
  <c r="L38" i="3"/>
  <c r="H38" i="3"/>
  <c r="D38" i="3"/>
  <c r="AJ37" i="3"/>
  <c r="AF37" i="3"/>
  <c r="AB37" i="3"/>
  <c r="X37" i="3"/>
  <c r="T37" i="3"/>
  <c r="P37" i="3"/>
  <c r="L37" i="3"/>
  <c r="H37" i="3"/>
  <c r="D37" i="3"/>
  <c r="AJ36" i="3"/>
  <c r="AF36" i="3"/>
  <c r="AB36" i="3"/>
  <c r="X36" i="3"/>
  <c r="T36" i="3"/>
  <c r="P36" i="3"/>
  <c r="L36" i="3"/>
  <c r="H36" i="3"/>
  <c r="D36" i="3"/>
  <c r="AJ35" i="3"/>
  <c r="AF35" i="3"/>
  <c r="AB35" i="3"/>
  <c r="X35" i="3"/>
  <c r="T35" i="3"/>
  <c r="P35" i="3"/>
  <c r="L35" i="3"/>
  <c r="H35" i="3"/>
  <c r="D35" i="3"/>
  <c r="AJ34" i="3"/>
  <c r="AF34" i="3"/>
  <c r="AB34" i="3"/>
  <c r="X34" i="3"/>
  <c r="T34" i="3"/>
  <c r="P34" i="3"/>
  <c r="L34" i="3"/>
  <c r="H34" i="3"/>
  <c r="D34" i="3"/>
  <c r="AJ33" i="3"/>
  <c r="AF33" i="3"/>
  <c r="AB33" i="3"/>
  <c r="X33" i="3"/>
  <c r="T33" i="3"/>
  <c r="P33" i="3"/>
  <c r="L33" i="3"/>
  <c r="H33" i="3"/>
  <c r="D33" i="3"/>
  <c r="AJ32" i="3"/>
  <c r="AF32" i="3"/>
  <c r="AB32" i="3"/>
  <c r="X32" i="3"/>
  <c r="T32" i="3"/>
  <c r="P32" i="3"/>
  <c r="L32" i="3"/>
  <c r="H32" i="3"/>
  <c r="D32" i="3"/>
  <c r="AJ31" i="3"/>
  <c r="AF31" i="3"/>
  <c r="AB31" i="3"/>
  <c r="X31" i="3"/>
  <c r="T31" i="3"/>
  <c r="P31" i="3"/>
  <c r="L31" i="3"/>
  <c r="H31" i="3"/>
  <c r="D31" i="3"/>
  <c r="AJ30" i="3"/>
  <c r="AF30" i="3"/>
  <c r="AB30" i="3"/>
  <c r="X30" i="3"/>
  <c r="T30" i="3"/>
  <c r="P30" i="3"/>
  <c r="L30" i="3"/>
  <c r="H30" i="3"/>
  <c r="D30" i="3"/>
  <c r="AJ29" i="3"/>
  <c r="AF29" i="3"/>
  <c r="AB29" i="3"/>
  <c r="X29" i="3"/>
  <c r="T29" i="3"/>
  <c r="P29" i="3"/>
  <c r="L29" i="3"/>
  <c r="H29" i="3"/>
  <c r="D29" i="3"/>
  <c r="AJ28" i="3"/>
  <c r="AF28" i="3"/>
  <c r="AB28" i="3"/>
  <c r="X28" i="3"/>
  <c r="P28" i="3"/>
  <c r="L28" i="3"/>
  <c r="H28" i="3"/>
  <c r="H45" i="3" s="1"/>
  <c r="D28" i="3"/>
  <c r="AJ27" i="3"/>
  <c r="AF27" i="3"/>
  <c r="AB27" i="3"/>
  <c r="X27" i="3"/>
  <c r="T27" i="3"/>
  <c r="P27" i="3"/>
  <c r="L27" i="3"/>
  <c r="H27" i="3"/>
  <c r="D27" i="3"/>
  <c r="AJ26" i="3"/>
  <c r="AF26" i="3"/>
  <c r="AB26" i="3"/>
  <c r="X26" i="3"/>
  <c r="T26" i="3"/>
  <c r="P26" i="3"/>
  <c r="L26" i="3"/>
  <c r="H26" i="3"/>
  <c r="D26" i="3"/>
  <c r="AJ25" i="3"/>
  <c r="AF25" i="3"/>
  <c r="AB25" i="3"/>
  <c r="X25" i="3"/>
  <c r="T25" i="3"/>
  <c r="P25" i="3"/>
  <c r="L25" i="3"/>
  <c r="H25" i="3"/>
  <c r="D25" i="3"/>
  <c r="AJ24" i="3"/>
  <c r="AF24" i="3"/>
  <c r="AB24" i="3"/>
  <c r="X24" i="3"/>
  <c r="T24" i="3"/>
  <c r="P24" i="3"/>
  <c r="H24" i="3"/>
  <c r="D24" i="3"/>
  <c r="AJ23" i="3"/>
  <c r="AF23" i="3"/>
  <c r="AB23" i="3"/>
  <c r="X23" i="3"/>
  <c r="T23" i="3"/>
  <c r="P23" i="3"/>
  <c r="L23" i="3"/>
  <c r="H23" i="3"/>
  <c r="D23" i="3"/>
  <c r="AJ22" i="3"/>
  <c r="AF22" i="3"/>
  <c r="AF44" i="3" s="1"/>
  <c r="AB22" i="3"/>
  <c r="X22" i="3"/>
  <c r="T22" i="3"/>
  <c r="P22" i="3"/>
  <c r="L22" i="3"/>
  <c r="H22" i="3"/>
  <c r="D22" i="3"/>
  <c r="AJ21" i="3"/>
  <c r="AF21" i="3"/>
  <c r="AB21" i="3"/>
  <c r="X21" i="3"/>
  <c r="T21" i="3"/>
  <c r="P21" i="3"/>
  <c r="L21" i="3"/>
  <c r="H21" i="3"/>
  <c r="D21" i="3"/>
  <c r="AJ20" i="3"/>
  <c r="AF20" i="3"/>
  <c r="AB20" i="3"/>
  <c r="X20" i="3"/>
  <c r="T20" i="3"/>
  <c r="P20" i="3"/>
  <c r="H20" i="3"/>
  <c r="D20" i="3"/>
  <c r="AJ19" i="3"/>
  <c r="AF19" i="3"/>
  <c r="AB19" i="3"/>
  <c r="X19" i="3"/>
  <c r="T19" i="3"/>
  <c r="P19" i="3"/>
  <c r="L19" i="3"/>
  <c r="H19" i="3"/>
  <c r="D19" i="3"/>
  <c r="AJ17" i="3"/>
  <c r="AF17" i="3"/>
  <c r="AB17" i="3"/>
  <c r="AB44" i="3" s="1"/>
  <c r="X17" i="3"/>
  <c r="T17" i="3"/>
  <c r="P17" i="3"/>
  <c r="L17" i="3"/>
  <c r="H17" i="3"/>
  <c r="D17" i="3"/>
  <c r="AJ14" i="3"/>
  <c r="AF14" i="3"/>
  <c r="AB14" i="3"/>
  <c r="X14" i="3"/>
  <c r="T14" i="3"/>
  <c r="P14" i="3"/>
  <c r="L14" i="3"/>
  <c r="H14" i="3"/>
  <c r="D14" i="3"/>
  <c r="AJ13" i="3"/>
  <c r="AF13" i="3"/>
  <c r="AB13" i="3"/>
  <c r="X13" i="3"/>
  <c r="T13" i="3"/>
  <c r="P13" i="3"/>
  <c r="H13" i="3"/>
  <c r="D13" i="3"/>
  <c r="AJ12" i="3"/>
  <c r="AF12" i="3"/>
  <c r="AB12" i="3"/>
  <c r="X12" i="3"/>
  <c r="T12" i="3"/>
  <c r="P12" i="3"/>
  <c r="L12" i="3"/>
  <c r="H12" i="3"/>
  <c r="D12" i="3"/>
  <c r="AJ11" i="3"/>
  <c r="AF11" i="3"/>
  <c r="AB11" i="3"/>
  <c r="X11" i="3"/>
  <c r="T11" i="3"/>
  <c r="P11" i="3"/>
  <c r="L11" i="3"/>
  <c r="H11" i="3"/>
  <c r="H44" i="3" s="1"/>
  <c r="D11" i="3"/>
  <c r="AJ10" i="3"/>
  <c r="AF10" i="3"/>
  <c r="AB10" i="3"/>
  <c r="X10" i="3"/>
  <c r="T10" i="3"/>
  <c r="P10" i="3"/>
  <c r="L10" i="3"/>
  <c r="H10" i="3"/>
  <c r="D10" i="3"/>
  <c r="AO9" i="3"/>
  <c r="AJ9" i="3"/>
  <c r="AF9" i="3"/>
  <c r="AB9" i="3"/>
  <c r="X9" i="3"/>
  <c r="T9" i="3"/>
  <c r="P9" i="3"/>
  <c r="P44" i="3" s="1"/>
  <c r="L9" i="3"/>
  <c r="H9" i="3"/>
  <c r="D9" i="3"/>
  <c r="AO8" i="3"/>
  <c r="AJ8" i="3"/>
  <c r="AF8" i="3"/>
  <c r="AB8" i="3"/>
  <c r="X8" i="3"/>
  <c r="T8" i="3"/>
  <c r="P8" i="3"/>
  <c r="L8" i="3"/>
  <c r="L45" i="3" s="1"/>
  <c r="H8" i="3"/>
  <c r="D8" i="3"/>
  <c r="AJ7" i="3"/>
  <c r="AF7" i="3"/>
  <c r="AB7" i="3"/>
  <c r="T7" i="3"/>
  <c r="P7" i="3"/>
  <c r="H7" i="3"/>
  <c r="D7" i="3"/>
  <c r="AJ6" i="3"/>
  <c r="AF6" i="3"/>
  <c r="AB6" i="3"/>
  <c r="X6" i="3"/>
  <c r="X45" i="3" s="1"/>
  <c r="T6" i="3"/>
  <c r="P6" i="3"/>
  <c r="L6" i="3"/>
  <c r="H6" i="3"/>
  <c r="D6" i="3"/>
  <c r="T2" i="3"/>
  <c r="S50" i="3" s="1"/>
  <c r="S52" i="3" s="1"/>
  <c r="AO10" i="3" s="1"/>
  <c r="T44" i="3" l="1"/>
  <c r="AF45" i="3"/>
  <c r="AJ44" i="3"/>
  <c r="K50" i="3"/>
  <c r="D44" i="3"/>
  <c r="W50" i="3"/>
  <c r="D45" i="3"/>
  <c r="AE50" i="3"/>
  <c r="AE52" i="3" s="1"/>
  <c r="AO12" i="3" s="1"/>
  <c r="L44" i="3"/>
  <c r="T45" i="3"/>
  <c r="I14" i="2"/>
  <c r="K14" i="2"/>
  <c r="L14" i="2" s="1"/>
  <c r="I17" i="2"/>
  <c r="K17" i="2"/>
  <c r="L17" i="2" s="1"/>
  <c r="I13" i="2"/>
  <c r="K13" i="2"/>
  <c r="L13" i="2" s="1"/>
  <c r="K16" i="2"/>
  <c r="L16" i="2" s="1"/>
  <c r="I16" i="2"/>
  <c r="K12" i="2"/>
  <c r="L12" i="2" s="1"/>
  <c r="I12" i="2"/>
  <c r="I8" i="2"/>
  <c r="K8" i="2"/>
  <c r="L8" i="2" s="1"/>
  <c r="I7" i="2"/>
  <c r="K7" i="2"/>
  <c r="L7" i="2" s="1"/>
  <c r="K10" i="2"/>
  <c r="L10" i="2" s="1"/>
  <c r="I10" i="2"/>
  <c r="G6" i="2"/>
  <c r="H6" i="2" s="1"/>
  <c r="E6" i="2"/>
  <c r="E19" i="2" s="1"/>
  <c r="I9" i="2"/>
  <c r="K9" i="2"/>
  <c r="L9" i="2" s="1"/>
  <c r="I15" i="2"/>
  <c r="K15" i="2"/>
  <c r="L15" i="2" s="1"/>
  <c r="I11" i="2"/>
  <c r="K11" i="2"/>
  <c r="L11" i="2" s="1"/>
  <c r="O50" i="3"/>
  <c r="O52" i="3" s="1"/>
  <c r="AO14" i="3" s="1"/>
  <c r="AO5" i="3"/>
  <c r="O11" i="2" l="1"/>
  <c r="P11" i="2" s="1"/>
  <c r="M11" i="2"/>
  <c r="O15" i="2"/>
  <c r="P15" i="2" s="1"/>
  <c r="M15" i="2"/>
  <c r="O9" i="2"/>
  <c r="P9" i="2" s="1"/>
  <c r="M9" i="2"/>
  <c r="M7" i="2"/>
  <c r="O7" i="2"/>
  <c r="P7" i="2" s="1"/>
  <c r="M8" i="2"/>
  <c r="O8" i="2"/>
  <c r="P8" i="2" s="1"/>
  <c r="O13" i="2"/>
  <c r="P13" i="2" s="1"/>
  <c r="M13" i="2"/>
  <c r="O17" i="2"/>
  <c r="P17" i="2" s="1"/>
  <c r="M17" i="2"/>
  <c r="O14" i="2"/>
  <c r="P14" i="2" s="1"/>
  <c r="M14" i="2"/>
  <c r="K6" i="2"/>
  <c r="L6" i="2" s="1"/>
  <c r="I6" i="2"/>
  <c r="I19" i="2" s="1"/>
  <c r="O10" i="2"/>
  <c r="P10" i="2" s="1"/>
  <c r="M10" i="2"/>
  <c r="O12" i="2"/>
  <c r="P12" i="2" s="1"/>
  <c r="M12" i="2"/>
  <c r="O16" i="2"/>
  <c r="P16" i="2" s="1"/>
  <c r="M16" i="2"/>
  <c r="C54" i="3"/>
  <c r="AP19" i="3"/>
  <c r="AP15" i="3"/>
  <c r="AP20" i="3"/>
  <c r="Q16" i="2" l="1"/>
  <c r="S16" i="2"/>
  <c r="T16" i="2" s="1"/>
  <c r="S10" i="2"/>
  <c r="T10" i="2" s="1"/>
  <c r="Q10" i="2"/>
  <c r="O6" i="2"/>
  <c r="P6" i="2" s="1"/>
  <c r="M6" i="2"/>
  <c r="M19" i="2" s="1"/>
  <c r="Q8" i="2"/>
  <c r="S8" i="2"/>
  <c r="T8" i="2" s="1"/>
  <c r="Q7" i="2"/>
  <c r="S7" i="2"/>
  <c r="T7" i="2" s="1"/>
  <c r="Q12" i="2"/>
  <c r="S12" i="2"/>
  <c r="T12" i="2" s="1"/>
  <c r="S14" i="2"/>
  <c r="T14" i="2" s="1"/>
  <c r="Q14" i="2"/>
  <c r="S17" i="2"/>
  <c r="T17" i="2" s="1"/>
  <c r="Q17" i="2"/>
  <c r="S13" i="2"/>
  <c r="T13" i="2" s="1"/>
  <c r="Q13" i="2"/>
  <c r="S9" i="2"/>
  <c r="T9" i="2" s="1"/>
  <c r="Q9" i="2"/>
  <c r="Q15" i="2"/>
  <c r="S15" i="2"/>
  <c r="T15" i="2" s="1"/>
  <c r="Q11" i="2"/>
  <c r="S11" i="2"/>
  <c r="T11" i="2" s="1"/>
  <c r="AP17" i="3"/>
  <c r="AP21" i="3" s="1"/>
  <c r="W9" i="2" l="1"/>
  <c r="X9" i="2" s="1"/>
  <c r="U9" i="2"/>
  <c r="W11" i="2"/>
  <c r="X11" i="2" s="1"/>
  <c r="U11" i="2"/>
  <c r="W15" i="2"/>
  <c r="X15" i="2" s="1"/>
  <c r="U15" i="2"/>
  <c r="W12" i="2"/>
  <c r="X12" i="2" s="1"/>
  <c r="U12" i="2"/>
  <c r="U7" i="2"/>
  <c r="W7" i="2"/>
  <c r="X7" i="2" s="1"/>
  <c r="U8" i="2"/>
  <c r="W8" i="2"/>
  <c r="X8" i="2" s="1"/>
  <c r="W16" i="2"/>
  <c r="X16" i="2" s="1"/>
  <c r="U16" i="2"/>
  <c r="W13" i="2"/>
  <c r="X13" i="2" s="1"/>
  <c r="U13" i="2"/>
  <c r="W17" i="2"/>
  <c r="X17" i="2" s="1"/>
  <c r="U17" i="2"/>
  <c r="W14" i="2"/>
  <c r="X14" i="2" s="1"/>
  <c r="U14" i="2"/>
  <c r="S6" i="2"/>
  <c r="T6" i="2" s="1"/>
  <c r="Q6" i="2"/>
  <c r="Q19" i="2" s="1"/>
  <c r="W10" i="2"/>
  <c r="X10" i="2" s="1"/>
  <c r="U10" i="2"/>
  <c r="AP18" i="3"/>
  <c r="D35" i="1"/>
  <c r="D36" i="1"/>
  <c r="D37" i="1"/>
  <c r="D38" i="1"/>
  <c r="D39" i="1"/>
  <c r="D40" i="1"/>
  <c r="D41" i="1"/>
  <c r="D45" i="1" l="1"/>
  <c r="F37" i="1"/>
  <c r="E37" i="1"/>
  <c r="E40" i="1"/>
  <c r="F40" i="1"/>
  <c r="E36" i="1"/>
  <c r="F36" i="1"/>
  <c r="E39" i="1"/>
  <c r="F39" i="1"/>
  <c r="F35" i="1"/>
  <c r="E35" i="1"/>
  <c r="F41" i="1"/>
  <c r="E41" i="1"/>
  <c r="F38" i="1"/>
  <c r="E38" i="1"/>
  <c r="W6" i="2"/>
  <c r="X6" i="2" s="1"/>
  <c r="U6" i="2"/>
  <c r="U19" i="2" s="1"/>
  <c r="AA17" i="2"/>
  <c r="AB17" i="2" s="1"/>
  <c r="Y17" i="2"/>
  <c r="Y8" i="2"/>
  <c r="AA8" i="2"/>
  <c r="AB8" i="2" s="1"/>
  <c r="Y7" i="2"/>
  <c r="AA7" i="2"/>
  <c r="AB7" i="2" s="1"/>
  <c r="AA10" i="2"/>
  <c r="AB10" i="2" s="1"/>
  <c r="Y10" i="2"/>
  <c r="AA14" i="2"/>
  <c r="AB14" i="2" s="1"/>
  <c r="Y14" i="2"/>
  <c r="AA13" i="2"/>
  <c r="AB13" i="2" s="1"/>
  <c r="Y13" i="2"/>
  <c r="AA16" i="2"/>
  <c r="AB16" i="2" s="1"/>
  <c r="Y16" i="2"/>
  <c r="AA12" i="2"/>
  <c r="AB12" i="2" s="1"/>
  <c r="Y12" i="2"/>
  <c r="Y15" i="2"/>
  <c r="AA15" i="2"/>
  <c r="AB15" i="2" s="1"/>
  <c r="Y11" i="2"/>
  <c r="AA11" i="2"/>
  <c r="AB11" i="2" s="1"/>
  <c r="AA9" i="2"/>
  <c r="AB9" i="2" s="1"/>
  <c r="Y9" i="2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44" i="1" l="1"/>
  <c r="F17" i="1"/>
  <c r="E17" i="1"/>
  <c r="F21" i="1"/>
  <c r="E21" i="1"/>
  <c r="F25" i="1"/>
  <c r="E25" i="1"/>
  <c r="F29" i="1"/>
  <c r="E29" i="1"/>
  <c r="F33" i="1"/>
  <c r="E33" i="1"/>
  <c r="E18" i="1"/>
  <c r="F18" i="1"/>
  <c r="F22" i="1"/>
  <c r="E22" i="1"/>
  <c r="E26" i="1"/>
  <c r="F26" i="1"/>
  <c r="F30" i="1"/>
  <c r="E30" i="1"/>
  <c r="E34" i="1"/>
  <c r="F34" i="1"/>
  <c r="F19" i="1"/>
  <c r="E19" i="1"/>
  <c r="F23" i="1"/>
  <c r="E23" i="1"/>
  <c r="F27" i="1"/>
  <c r="E27" i="1"/>
  <c r="F31" i="1"/>
  <c r="E31" i="1"/>
  <c r="F16" i="1"/>
  <c r="E16" i="1"/>
  <c r="E20" i="1"/>
  <c r="F20" i="1"/>
  <c r="E24" i="1"/>
  <c r="F24" i="1"/>
  <c r="E28" i="1"/>
  <c r="F28" i="1"/>
  <c r="E32" i="1"/>
  <c r="F32" i="1"/>
  <c r="AE11" i="2"/>
  <c r="AF11" i="2" s="1"/>
  <c r="AC11" i="2"/>
  <c r="AE15" i="2"/>
  <c r="AF15" i="2" s="1"/>
  <c r="AC15" i="2"/>
  <c r="AC7" i="2"/>
  <c r="AE7" i="2"/>
  <c r="AF7" i="2" s="1"/>
  <c r="AC8" i="2"/>
  <c r="AE8" i="2"/>
  <c r="AF8" i="2" s="1"/>
  <c r="AE9" i="2"/>
  <c r="AF9" i="2" s="1"/>
  <c r="AC9" i="2"/>
  <c r="AE12" i="2"/>
  <c r="AF12" i="2" s="1"/>
  <c r="AC12" i="2"/>
  <c r="AE16" i="2"/>
  <c r="AF16" i="2" s="1"/>
  <c r="AC16" i="2"/>
  <c r="AE13" i="2"/>
  <c r="AF13" i="2" s="1"/>
  <c r="AC13" i="2"/>
  <c r="AE14" i="2"/>
  <c r="AF14" i="2" s="1"/>
  <c r="AC14" i="2"/>
  <c r="AE10" i="2"/>
  <c r="AF10" i="2" s="1"/>
  <c r="AC10" i="2"/>
  <c r="AE17" i="2"/>
  <c r="AF17" i="2" s="1"/>
  <c r="AC17" i="2"/>
  <c r="AA6" i="2"/>
  <c r="AB6" i="2" s="1"/>
  <c r="Y6" i="2"/>
  <c r="Y19" i="2" s="1"/>
  <c r="C50" i="1" l="1"/>
  <c r="C53" i="1" s="1"/>
  <c r="E44" i="1"/>
  <c r="AE6" i="2"/>
  <c r="AF6" i="2" s="1"/>
  <c r="AC6" i="2"/>
  <c r="AC19" i="2" s="1"/>
  <c r="AI10" i="2"/>
  <c r="AK10" i="2" s="1"/>
  <c r="AG10" i="2"/>
  <c r="AG8" i="2"/>
  <c r="AI8" i="2"/>
  <c r="AK8" i="2" s="1"/>
  <c r="AG7" i="2"/>
  <c r="AI7" i="2"/>
  <c r="AK7" i="2" s="1"/>
  <c r="AI17" i="2"/>
  <c r="AK17" i="2" s="1"/>
  <c r="AG17" i="2"/>
  <c r="AI14" i="2"/>
  <c r="AK14" i="2" s="1"/>
  <c r="AG14" i="2"/>
  <c r="AI13" i="2"/>
  <c r="AK13" i="2" s="1"/>
  <c r="AG13" i="2"/>
  <c r="AG16" i="2"/>
  <c r="AI16" i="2"/>
  <c r="AK16" i="2" s="1"/>
  <c r="AG12" i="2"/>
  <c r="AI12" i="2"/>
  <c r="AK12" i="2" s="1"/>
  <c r="AI9" i="2"/>
  <c r="AK9" i="2" s="1"/>
  <c r="AG9" i="2"/>
  <c r="AI15" i="2"/>
  <c r="AK15" i="2" s="1"/>
  <c r="AG15" i="2"/>
  <c r="AI11" i="2"/>
  <c r="AK11" i="2" s="1"/>
  <c r="AG11" i="2"/>
  <c r="F44" i="1"/>
  <c r="E43" i="1"/>
  <c r="F43" i="1"/>
  <c r="C47" i="1" l="1"/>
  <c r="AI6" i="2"/>
  <c r="AK6" i="2" s="1"/>
  <c r="AK19" i="2" s="1"/>
  <c r="AG6" i="2"/>
  <c r="AG19" i="2" s="1"/>
  <c r="E48" i="1" l="1"/>
  <c r="B44" i="1"/>
  <c r="C44" i="1"/>
  <c r="C43" i="1"/>
  <c r="B43" i="1"/>
  <c r="C48" i="1" l="1"/>
  <c r="C52" i="1" s="1"/>
  <c r="D43" i="1"/>
  <c r="C49" i="1" l="1"/>
  <c r="C51" i="1" s="1"/>
  <c r="C55" i="1" l="1"/>
  <c r="AO19" i="2" s="1"/>
  <c r="AO20" i="2" s="1"/>
  <c r="P20" i="2" l="1"/>
  <c r="I29" i="2" s="1"/>
  <c r="AF20" i="2"/>
  <c r="I33" i="2" s="1"/>
  <c r="D20" i="2"/>
  <c r="I26" i="2" s="1"/>
  <c r="X20" i="2"/>
  <c r="I31" i="2" s="1"/>
  <c r="AB20" i="2"/>
  <c r="I32" i="2" s="1"/>
  <c r="AJ20" i="2"/>
  <c r="I34" i="2" s="1"/>
  <c r="L20" i="2"/>
  <c r="I28" i="2" s="1"/>
  <c r="H20" i="2"/>
  <c r="I27" i="2" s="1"/>
  <c r="T20" i="2"/>
  <c r="I30" i="2" s="1"/>
  <c r="AM20" i="2" l="1"/>
  <c r="L37" i="2"/>
  <c r="I35" i="2"/>
  <c r="L40" i="2" l="1"/>
  <c r="L41" i="2"/>
  <c r="L38" i="2"/>
  <c r="L42" i="2" l="1"/>
  <c r="L39" i="2"/>
</calcChain>
</file>

<file path=xl/sharedStrings.xml><?xml version="1.0" encoding="utf-8"?>
<sst xmlns="http://schemas.openxmlformats.org/spreadsheetml/2006/main" count="205" uniqueCount="94">
  <si>
    <t>76,041,143-7</t>
  </si>
  <si>
    <t>Reporte dias laborados en Colbesa S.A. por Horas</t>
  </si>
  <si>
    <t>Nombre:</t>
  </si>
  <si>
    <t>Luis Alberto Collazos</t>
  </si>
  <si>
    <t>C.C.:</t>
  </si>
  <si>
    <t xml:space="preserve">Fecha </t>
  </si>
  <si>
    <t>Hora</t>
  </si>
  <si>
    <t>Entrada</t>
  </si>
  <si>
    <t>Salida</t>
  </si>
  <si>
    <t>T/Horas</t>
  </si>
  <si>
    <t>Cant</t>
  </si>
  <si>
    <t>Horas</t>
  </si>
  <si>
    <t>Minutos/60</t>
  </si>
  <si>
    <t>Sub/Diur</t>
  </si>
  <si>
    <t>Sub/AdDiur</t>
  </si>
  <si>
    <t>Sub/Fest</t>
  </si>
  <si>
    <t>Total Hrs Diurnas</t>
  </si>
  <si>
    <t>Total Hrs Diurnas Adicionales</t>
  </si>
  <si>
    <t>Total Hrs Diurn y Adicional</t>
  </si>
  <si>
    <t>Total Hrs Ext Fest</t>
  </si>
  <si>
    <t>Hora Diurn</t>
  </si>
  <si>
    <t>Hora Ext Fest</t>
  </si>
  <si>
    <t>Hora Diurn Adic</t>
  </si>
  <si>
    <t>Hrs Diurnas</t>
  </si>
  <si>
    <t>Hrs Diurnas Addicionales</t>
  </si>
  <si>
    <t>Hrs Ext Festivos</t>
  </si>
  <si>
    <t>Horas Ext Noct Festivos</t>
  </si>
  <si>
    <t>Total</t>
  </si>
  <si>
    <t>Total:</t>
  </si>
  <si>
    <t>Presupuesto por Area</t>
  </si>
  <si>
    <t>Administracion</t>
  </si>
  <si>
    <t>Ent</t>
  </si>
  <si>
    <t>Sal</t>
  </si>
  <si>
    <t>Calidad</t>
  </si>
  <si>
    <t>Logistica</t>
  </si>
  <si>
    <t>Almacen</t>
  </si>
  <si>
    <t>En</t>
  </si>
  <si>
    <t>Produccion</t>
  </si>
  <si>
    <t>Manufactura</t>
  </si>
  <si>
    <t>Hrs Departamento</t>
  </si>
  <si>
    <t>Hrs Add Departam</t>
  </si>
  <si>
    <t>Hrs Diurnas Add</t>
  </si>
  <si>
    <t xml:space="preserve">Total Hrs </t>
  </si>
  <si>
    <t>Ttl Hrs Add</t>
  </si>
  <si>
    <t>Ttl Depart</t>
  </si>
  <si>
    <t>Pepsi</t>
  </si>
  <si>
    <t>Mantenimiento</t>
  </si>
  <si>
    <t>Seguridad Industrial</t>
  </si>
  <si>
    <t>Cuenta</t>
  </si>
  <si>
    <t>Ccosto</t>
  </si>
  <si>
    <t xml:space="preserve">Nombre </t>
  </si>
  <si>
    <t>Debitos</t>
  </si>
  <si>
    <t>Admon</t>
  </si>
  <si>
    <t>Gcia Manufactura</t>
  </si>
  <si>
    <t>Seguridad Ind</t>
  </si>
  <si>
    <t>Mtto</t>
  </si>
  <si>
    <t>MA0102</t>
  </si>
  <si>
    <t>AD0101</t>
  </si>
  <si>
    <t>AD0102</t>
  </si>
  <si>
    <t>MA0103</t>
  </si>
  <si>
    <t>MA0202</t>
  </si>
  <si>
    <t>MA0302</t>
  </si>
  <si>
    <t>MA0503</t>
  </si>
  <si>
    <t>MA0702</t>
  </si>
  <si>
    <t>MA0802</t>
  </si>
  <si>
    <t>Retefuente 4%</t>
  </si>
  <si>
    <t>Por Pagar</t>
  </si>
  <si>
    <t>Credito</t>
  </si>
  <si>
    <t>:</t>
  </si>
  <si>
    <t>I.V.A.</t>
  </si>
  <si>
    <t>Reteica 8 x 1000</t>
  </si>
  <si>
    <t>Admon/Soporte Adicional</t>
  </si>
  <si>
    <t>SubTotal</t>
  </si>
  <si>
    <t>Valor Factura</t>
  </si>
  <si>
    <t>Fecha</t>
  </si>
  <si>
    <t>ent</t>
  </si>
  <si>
    <t>sal</t>
  </si>
  <si>
    <t>total</t>
  </si>
  <si>
    <t>Horas dpt</t>
  </si>
  <si>
    <t>Costo dpt</t>
  </si>
  <si>
    <t>Costo</t>
  </si>
  <si>
    <t>Nombre</t>
  </si>
  <si>
    <t>Creditos</t>
  </si>
  <si>
    <t>Seguridad ind</t>
  </si>
  <si>
    <t>Admon/Soporte adicional</t>
  </si>
  <si>
    <t>Subtotal</t>
  </si>
  <si>
    <t>Por pagar</t>
  </si>
  <si>
    <t>Consolidado por departamentos</t>
  </si>
  <si>
    <t>CLIC AQUÍ</t>
  </si>
  <si>
    <t>No imprimir, recuadro para programador, los datos modificados en estas celdas provocaran cambios en todo el documento</t>
  </si>
  <si>
    <t/>
  </si>
  <si>
    <t>07:00</t>
  </si>
  <si>
    <t>19:20</t>
  </si>
  <si>
    <t>+E16+E17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</si>
</sst>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(&quot;$&quot;\ * #,##0.00_);_(&quot;$&quot;\ * \(#,##0.00\);_(&quot;$&quot;\ * &quot;-&quot;??_);_(@_)"/>
    <numFmt numFmtId="43" formatCode="_(* #,##0.00_);_(* \(#,##0.00\);_(* &quot;-&quot;??_);_(@_)"/>
    <numFmt numFmtId="164" formatCode="[h]:mm:ss;@"/>
    <numFmt numFmtId="165" formatCode="h:mm;@"/>
    <numFmt numFmtId="166" formatCode="&quot;$&quot;\ #,##0.00"/>
    <numFmt numFmtId="167" formatCode="&quot;$&quot;#,##0.00"/>
    <numFmt numFmtId="168" formatCode="&quot;$&quot;\ #,##0"/>
    <numFmt numFmtId="169" formatCode="&quot;$&quot;#,##0"/>
    <numFmt numFmtId="170" formatCode="_([$$-240A]\ * #,##0.00_);_([$$-240A]\ * \(#,##0.00\);_([$$-240A]\ * &quot;-&quot;??_);_(@_)"/>
    <numFmt numFmtId="171" formatCode="dd/mm/yyyy;@"/>
    <numFmt numFmtId="172" formatCode="[$-240A]dddd\,\ dd&quot; de &quot;mmmm&quot; de &quot;yyyy;@"/>
  </numFmts>
  <fonts count="10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39997558519241921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</cellStyleXfs>
  <cellXfs count="234">
    <xf numFmtId="0" fontId="0" fillId="0" borderId="0" xfId="0"/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NumberFormat="1"/>
    <xf numFmtId="2" fontId="0" fillId="0" borderId="0" xfId="0" applyNumberFormat="1"/>
    <xf numFmtId="164" fontId="0" fillId="0" borderId="0" xfId="0" applyNumberFormat="1"/>
    <xf numFmtId="164" fontId="0" fillId="0" borderId="0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166" fontId="0" fillId="0" borderId="0" xfId="0" applyNumberFormat="1"/>
    <xf numFmtId="0" fontId="0" fillId="3" borderId="0" xfId="0" applyFill="1"/>
    <xf numFmtId="166" fontId="0" fillId="3" borderId="0" xfId="0" applyNumberFormat="1" applyFill="1"/>
    <xf numFmtId="0" fontId="0" fillId="4" borderId="0" xfId="0" applyFill="1"/>
    <xf numFmtId="166" fontId="0" fillId="4" borderId="0" xfId="0" applyNumberFormat="1" applyFill="1"/>
    <xf numFmtId="0" fontId="0" fillId="2" borderId="0" xfId="0" applyFill="1"/>
    <xf numFmtId="166" fontId="0" fillId="2" borderId="0" xfId="0" applyNumberFormat="1" applyFill="1"/>
    <xf numFmtId="0" fontId="4" fillId="0" borderId="0" xfId="0" applyFont="1"/>
    <xf numFmtId="0" fontId="4" fillId="0" borderId="2" xfId="0" applyFont="1" applyBorder="1"/>
    <xf numFmtId="0" fontId="4" fillId="0" borderId="18" xfId="0" applyFont="1" applyBorder="1"/>
    <xf numFmtId="0" fontId="4" fillId="4" borderId="2" xfId="0" applyFont="1" applyFill="1" applyBorder="1"/>
    <xf numFmtId="0" fontId="4" fillId="4" borderId="18" xfId="0" applyFont="1" applyFill="1" applyBorder="1"/>
    <xf numFmtId="0" fontId="4" fillId="0" borderId="16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20" fontId="4" fillId="0" borderId="4" xfId="0" applyNumberFormat="1" applyFont="1" applyBorder="1" applyAlignment="1">
      <alignment horizontal="center" vertical="center"/>
    </xf>
    <xf numFmtId="20" fontId="4" fillId="0" borderId="5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0" fontId="4" fillId="0" borderId="0" xfId="0" applyNumberFormat="1" applyFont="1" applyBorder="1"/>
    <xf numFmtId="0" fontId="4" fillId="0" borderId="0" xfId="0" applyFont="1" applyBorder="1"/>
    <xf numFmtId="20" fontId="4" fillId="0" borderId="16" xfId="0" applyNumberFormat="1" applyFont="1" applyFill="1" applyBorder="1" applyAlignment="1">
      <alignment horizontal="center" vertical="center"/>
    </xf>
    <xf numFmtId="20" fontId="4" fillId="0" borderId="0" xfId="0" applyNumberFormat="1" applyFont="1" applyFill="1" applyBorder="1" applyAlignment="1">
      <alignment horizontal="center" vertical="center"/>
    </xf>
    <xf numFmtId="164" fontId="4" fillId="0" borderId="12" xfId="0" applyNumberFormat="1" applyFont="1" applyFill="1" applyBorder="1" applyAlignment="1">
      <alignment horizontal="center" vertical="center"/>
    </xf>
    <xf numFmtId="20" fontId="4" fillId="0" borderId="0" xfId="0" applyNumberFormat="1" applyFont="1" applyBorder="1" applyAlignment="1">
      <alignment horizontal="center" vertical="center"/>
    </xf>
    <xf numFmtId="14" fontId="4" fillId="0" borderId="0" xfId="0" applyNumberFormat="1" applyFont="1" applyBorder="1" applyAlignment="1">
      <alignment vertical="center"/>
    </xf>
    <xf numFmtId="20" fontId="4" fillId="4" borderId="1" xfId="0" applyNumberFormat="1" applyFont="1" applyFill="1" applyBorder="1" applyAlignment="1">
      <alignment horizontal="center" vertical="center"/>
    </xf>
    <xf numFmtId="20" fontId="4" fillId="4" borderId="7" xfId="0" applyNumberFormat="1" applyFont="1" applyFill="1" applyBorder="1" applyAlignment="1">
      <alignment horizontal="center" vertical="center"/>
    </xf>
    <xf numFmtId="164" fontId="4" fillId="4" borderId="8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20" fontId="4" fillId="0" borderId="16" xfId="0" applyNumberFormat="1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4" xfId="0" applyFont="1" applyBorder="1"/>
    <xf numFmtId="0" fontId="4" fillId="0" borderId="5" xfId="0" applyFont="1" applyBorder="1"/>
    <xf numFmtId="0" fontId="4" fillId="0" borderId="16" xfId="0" applyFont="1" applyBorder="1"/>
    <xf numFmtId="0" fontId="4" fillId="0" borderId="1" xfId="0" applyFont="1" applyBorder="1"/>
    <xf numFmtId="0" fontId="4" fillId="0" borderId="7" xfId="0" applyFont="1" applyBorder="1"/>
    <xf numFmtId="0" fontId="4" fillId="0" borderId="8" xfId="0" applyFont="1" applyBorder="1"/>
    <xf numFmtId="164" fontId="4" fillId="0" borderId="5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0" fontId="4" fillId="0" borderId="9" xfId="0" applyFont="1" applyBorder="1"/>
    <xf numFmtId="164" fontId="4" fillId="4" borderId="7" xfId="0" applyNumberFormat="1" applyFont="1" applyFill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64" fontId="4" fillId="4" borderId="1" xfId="0" applyNumberFormat="1" applyFont="1" applyFill="1" applyBorder="1" applyAlignment="1">
      <alignment horizontal="center" vertical="center"/>
    </xf>
    <xf numFmtId="0" fontId="4" fillId="0" borderId="10" xfId="0" applyFont="1" applyBorder="1"/>
    <xf numFmtId="0" fontId="4" fillId="4" borderId="1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64" fontId="4" fillId="0" borderId="0" xfId="0" applyNumberFormat="1" applyFont="1" applyFill="1" applyAlignment="1">
      <alignment horizontal="center" vertical="center"/>
    </xf>
    <xf numFmtId="0" fontId="4" fillId="0" borderId="0" xfId="0" applyFont="1" applyFill="1"/>
    <xf numFmtId="0" fontId="4" fillId="0" borderId="4" xfId="0" applyFont="1" applyFill="1" applyBorder="1" applyAlignment="1">
      <alignment horizontal="center" vertical="center"/>
    </xf>
    <xf numFmtId="166" fontId="4" fillId="0" borderId="0" xfId="0" applyNumberFormat="1" applyFont="1" applyFill="1" applyAlignment="1">
      <alignment vertical="center"/>
    </xf>
    <xf numFmtId="166" fontId="4" fillId="0" borderId="4" xfId="0" applyNumberFormat="1" applyFont="1" applyFill="1" applyBorder="1" applyAlignment="1">
      <alignment vertical="center"/>
    </xf>
    <xf numFmtId="166" fontId="4" fillId="0" borderId="0" xfId="0" applyNumberFormat="1" applyFont="1" applyAlignment="1">
      <alignment vertical="center"/>
    </xf>
    <xf numFmtId="166" fontId="4" fillId="0" borderId="4" xfId="0" applyNumberFormat="1" applyFont="1" applyBorder="1" applyAlignment="1">
      <alignment vertical="center"/>
    </xf>
    <xf numFmtId="166" fontId="4" fillId="0" borderId="1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0" xfId="0" applyFont="1" applyAlignment="1">
      <alignment horizontal="right" vertical="center"/>
    </xf>
    <xf numFmtId="0" fontId="4" fillId="4" borderId="10" xfId="0" applyFont="1" applyFill="1" applyBorder="1"/>
    <xf numFmtId="0" fontId="6" fillId="0" borderId="19" xfId="0" applyFont="1" applyBorder="1"/>
    <xf numFmtId="0" fontId="4" fillId="0" borderId="19" xfId="0" applyFont="1" applyBorder="1"/>
    <xf numFmtId="14" fontId="4" fillId="0" borderId="12" xfId="0" applyNumberFormat="1" applyFont="1" applyBorder="1" applyAlignment="1">
      <alignment vertical="center"/>
    </xf>
    <xf numFmtId="20" fontId="4" fillId="0" borderId="1" xfId="0" applyNumberFormat="1" applyFont="1" applyFill="1" applyBorder="1" applyAlignment="1">
      <alignment horizontal="center" vertical="center"/>
    </xf>
    <xf numFmtId="20" fontId="4" fillId="0" borderId="7" xfId="0" applyNumberFormat="1" applyFont="1" applyFill="1" applyBorder="1" applyAlignment="1">
      <alignment horizontal="center" vertical="center"/>
    </xf>
    <xf numFmtId="164" fontId="4" fillId="0" borderId="8" xfId="0" applyNumberFormat="1" applyFont="1" applyFill="1" applyBorder="1" applyAlignment="1">
      <alignment horizontal="center" vertical="center"/>
    </xf>
    <xf numFmtId="164" fontId="4" fillId="0" borderId="9" xfId="0" applyNumberFormat="1" applyFont="1" applyBorder="1"/>
    <xf numFmtId="164" fontId="4" fillId="4" borderId="10" xfId="0" applyNumberFormat="1" applyFont="1" applyFill="1" applyBorder="1"/>
    <xf numFmtId="0" fontId="4" fillId="0" borderId="16" xfId="0" applyFont="1" applyFill="1" applyBorder="1"/>
    <xf numFmtId="0" fontId="4" fillId="0" borderId="0" xfId="0" applyFont="1" applyFill="1" applyBorder="1"/>
    <xf numFmtId="20" fontId="4" fillId="0" borderId="4" xfId="0" applyNumberFormat="1" applyFont="1" applyFill="1" applyBorder="1" applyAlignment="1">
      <alignment horizontal="center" vertical="center"/>
    </xf>
    <xf numFmtId="20" fontId="4" fillId="0" borderId="5" xfId="0" applyNumberFormat="1" applyFont="1" applyFill="1" applyBorder="1" applyAlignment="1">
      <alignment horizontal="center" vertical="center"/>
    </xf>
    <xf numFmtId="164" fontId="4" fillId="0" borderId="6" xfId="0" applyNumberFormat="1" applyFont="1" applyFill="1" applyBorder="1" applyAlignment="1">
      <alignment horizontal="center" vertical="center"/>
    </xf>
    <xf numFmtId="2" fontId="4" fillId="0" borderId="0" xfId="0" applyNumberFormat="1" applyFont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168" fontId="4" fillId="0" borderId="19" xfId="0" applyNumberFormat="1" applyFont="1" applyBorder="1"/>
    <xf numFmtId="169" fontId="4" fillId="0" borderId="19" xfId="0" applyNumberFormat="1" applyFont="1" applyBorder="1"/>
    <xf numFmtId="20" fontId="4" fillId="0" borderId="16" xfId="0" applyNumberFormat="1" applyFont="1" applyFill="1" applyBorder="1"/>
    <xf numFmtId="20" fontId="4" fillId="0" borderId="0" xfId="0" applyNumberFormat="1" applyFont="1" applyFill="1" applyBorder="1"/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164" fontId="4" fillId="0" borderId="12" xfId="0" applyNumberFormat="1" applyFont="1" applyBorder="1" applyAlignment="1">
      <alignment horizontal="center" vertical="center"/>
    </xf>
    <xf numFmtId="164" fontId="4" fillId="0" borderId="6" xfId="0" applyNumberFormat="1" applyFont="1" applyFill="1" applyBorder="1" applyAlignment="1">
      <alignment horizontal="center"/>
    </xf>
    <xf numFmtId="164" fontId="4" fillId="4" borderId="8" xfId="0" applyNumberFormat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 applyAlignment="1">
      <alignment horizontal="center" vertical="center"/>
    </xf>
    <xf numFmtId="0" fontId="8" fillId="0" borderId="7" xfId="0" applyFont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164" fontId="4" fillId="0" borderId="12" xfId="0" applyNumberFormat="1" applyFont="1" applyFill="1" applyBorder="1" applyAlignment="1">
      <alignment horizontal="center"/>
    </xf>
    <xf numFmtId="20" fontId="4" fillId="0" borderId="16" xfId="0" applyNumberFormat="1" applyFont="1" applyBorder="1"/>
    <xf numFmtId="20" fontId="4" fillId="0" borderId="0" xfId="0" applyNumberFormat="1" applyFont="1" applyBorder="1"/>
    <xf numFmtId="20" fontId="4" fillId="4" borderId="1" xfId="0" applyNumberFormat="1" applyFont="1" applyFill="1" applyBorder="1" applyAlignment="1">
      <alignment horizontal="center"/>
    </xf>
    <xf numFmtId="20" fontId="4" fillId="4" borderId="7" xfId="0" applyNumberFormat="1" applyFont="1" applyFill="1" applyBorder="1" applyAlignment="1">
      <alignment horizontal="center"/>
    </xf>
    <xf numFmtId="20" fontId="4" fillId="0" borderId="1" xfId="0" applyNumberFormat="1" applyFont="1" applyBorder="1" applyAlignment="1">
      <alignment horizontal="center" vertical="center"/>
    </xf>
    <xf numFmtId="20" fontId="4" fillId="0" borderId="7" xfId="0" applyNumberFormat="1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/>
    </xf>
    <xf numFmtId="0" fontId="8" fillId="0" borderId="4" xfId="0" applyFont="1" applyBorder="1"/>
    <xf numFmtId="0" fontId="4" fillId="0" borderId="0" xfId="0" applyFont="1" applyBorder="1" applyAlignment="1">
      <alignment vertical="center"/>
    </xf>
    <xf numFmtId="165" fontId="1" fillId="0" borderId="22" xfId="0" applyNumberFormat="1" applyFont="1" applyFill="1" applyBorder="1" applyAlignment="1">
      <alignment horizontal="center" vertical="center"/>
    </xf>
    <xf numFmtId="167" fontId="0" fillId="0" borderId="0" xfId="0" applyNumberFormat="1"/>
    <xf numFmtId="9" fontId="4" fillId="0" borderId="0" xfId="0" applyNumberFormat="1" applyFont="1"/>
    <xf numFmtId="1" fontId="4" fillId="0" borderId="0" xfId="0" applyNumberFormat="1" applyFont="1"/>
    <xf numFmtId="168" fontId="4" fillId="0" borderId="0" xfId="0" applyNumberFormat="1" applyFont="1"/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0" borderId="12" xfId="0" applyNumberFormat="1" applyFont="1" applyBorder="1" applyAlignment="1">
      <alignment horizontal="center" vertical="center"/>
    </xf>
    <xf numFmtId="20" fontId="4" fillId="4" borderId="16" xfId="0" applyNumberFormat="1" applyFont="1" applyFill="1" applyBorder="1" applyAlignment="1">
      <alignment horizontal="center" vertical="center"/>
    </xf>
    <xf numFmtId="20" fontId="4" fillId="4" borderId="0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horizontal="center" vertical="center"/>
    </xf>
    <xf numFmtId="0" fontId="4" fillId="0" borderId="3" xfId="0" applyFont="1" applyBorder="1"/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164" fontId="4" fillId="0" borderId="0" xfId="0" applyNumberFormat="1" applyFont="1" applyFill="1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166" fontId="7" fillId="0" borderId="0" xfId="0" applyNumberFormat="1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>
      <alignment horizontal="center" vertical="center"/>
    </xf>
    <xf numFmtId="168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169" fontId="4" fillId="0" borderId="0" xfId="0" applyNumberFormat="1" applyFont="1" applyFill="1" applyBorder="1" applyAlignment="1">
      <alignment horizontal="center" vertical="center"/>
    </xf>
    <xf numFmtId="1" fontId="4" fillId="0" borderId="0" xfId="0" applyNumberFormat="1" applyFont="1" applyFill="1" applyBorder="1" applyAlignment="1">
      <alignment horizontal="center" vertical="center"/>
    </xf>
    <xf numFmtId="9" fontId="4" fillId="0" borderId="0" xfId="0" applyNumberFormat="1" applyFont="1" applyFill="1" applyBorder="1" applyAlignment="1">
      <alignment horizontal="center" vertical="center"/>
    </xf>
    <xf numFmtId="0" fontId="7" fillId="0" borderId="0" xfId="2" applyNumberFormat="1" applyFont="1" applyFill="1" applyBorder="1" applyAlignment="1">
      <alignment horizontal="center" vertical="center"/>
    </xf>
    <xf numFmtId="170" fontId="7" fillId="0" borderId="0" xfId="1" applyNumberFormat="1" applyFont="1" applyFill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70" fontId="7" fillId="0" borderId="0" xfId="0" applyNumberFormat="1" applyFont="1" applyFill="1" applyBorder="1" applyAlignment="1">
      <alignment horizontal="center" vertical="center"/>
    </xf>
    <xf numFmtId="20" fontId="4" fillId="0" borderId="0" xfId="0" applyNumberFormat="1" applyFont="1" applyAlignment="1">
      <alignment horizontal="center" vertical="center"/>
    </xf>
    <xf numFmtId="171" fontId="4" fillId="0" borderId="0" xfId="0" applyNumberFormat="1" applyFont="1" applyFill="1" applyBorder="1" applyAlignment="1">
      <alignment horizontal="center" vertical="center"/>
    </xf>
    <xf numFmtId="167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8" fontId="4" fillId="0" borderId="0" xfId="0" applyNumberFormat="1" applyFont="1" applyFill="1" applyBorder="1" applyAlignment="1">
      <alignment horizontal="right" vertical="center"/>
    </xf>
    <xf numFmtId="20" fontId="6" fillId="0" borderId="0" xfId="0" applyNumberFormat="1" applyFont="1" applyFill="1" applyBorder="1" applyAlignment="1">
      <alignment horizontal="center" vertical="center"/>
    </xf>
    <xf numFmtId="20" fontId="4" fillId="0" borderId="22" xfId="0" applyNumberFormat="1" applyFont="1" applyBorder="1" applyAlignment="1">
      <alignment horizontal="center" vertical="center"/>
    </xf>
    <xf numFmtId="0" fontId="6" fillId="0" borderId="22" xfId="0" applyNumberFormat="1" applyFont="1" applyFill="1" applyBorder="1" applyAlignment="1">
      <alignment horizontal="left" vertical="center"/>
    </xf>
    <xf numFmtId="20" fontId="4" fillId="0" borderId="22" xfId="0" applyNumberFormat="1" applyFont="1" applyFill="1" applyBorder="1" applyAlignment="1">
      <alignment horizontal="center" vertical="center"/>
    </xf>
    <xf numFmtId="168" fontId="4" fillId="0" borderId="22" xfId="0" applyNumberFormat="1" applyFont="1" applyFill="1" applyBorder="1" applyAlignment="1">
      <alignment horizontal="center" vertical="center"/>
    </xf>
    <xf numFmtId="20" fontId="6" fillId="0" borderId="22" xfId="0" applyNumberFormat="1" applyFont="1" applyFill="1" applyBorder="1" applyAlignment="1">
      <alignment horizontal="center" vertical="center"/>
    </xf>
    <xf numFmtId="172" fontId="0" fillId="0" borderId="0" xfId="0" applyNumberFormat="1" applyAlignment="1">
      <alignment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3" borderId="25" xfId="0" applyFon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/>
    </xf>
    <xf numFmtId="165" fontId="1" fillId="0" borderId="29" xfId="0" applyNumberFormat="1" applyFont="1" applyBorder="1" applyAlignment="1">
      <alignment horizontal="center" vertical="center"/>
    </xf>
    <xf numFmtId="165" fontId="1" fillId="3" borderId="30" xfId="0" applyNumberFormat="1" applyFont="1" applyFill="1" applyBorder="1" applyAlignment="1">
      <alignment horizontal="center" vertical="center"/>
    </xf>
    <xf numFmtId="164" fontId="0" fillId="3" borderId="31" xfId="0" applyNumberFormat="1" applyFill="1" applyBorder="1" applyAlignment="1">
      <alignment horizontal="center" vertical="center"/>
    </xf>
    <xf numFmtId="0" fontId="0" fillId="3" borderId="32" xfId="0" applyNumberFormat="1" applyFill="1" applyBorder="1" applyAlignment="1">
      <alignment horizontal="center" vertical="center"/>
    </xf>
    <xf numFmtId="0" fontId="0" fillId="3" borderId="33" xfId="0" applyNumberFormat="1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0" fillId="4" borderId="36" xfId="0" applyFill="1" applyBorder="1" applyAlignment="1">
      <alignment horizontal="center" vertical="center"/>
    </xf>
    <xf numFmtId="164" fontId="0" fillId="4" borderId="34" xfId="0" applyNumberFormat="1" applyFill="1" applyBorder="1" applyAlignment="1">
      <alignment horizontal="center" vertical="center"/>
    </xf>
    <xf numFmtId="20" fontId="1" fillId="0" borderId="27" xfId="0" applyNumberFormat="1" applyFont="1" applyBorder="1" applyAlignment="1">
      <alignment horizontal="center" vertical="center"/>
    </xf>
    <xf numFmtId="20" fontId="1" fillId="0" borderId="23" xfId="0" applyNumberFormat="1" applyFont="1" applyBorder="1" applyAlignment="1">
      <alignment horizontal="center" vertical="center"/>
    </xf>
    <xf numFmtId="20" fontId="1" fillId="3" borderId="28" xfId="0" applyNumberFormat="1" applyFont="1" applyFill="1" applyBorder="1" applyAlignment="1">
      <alignment horizontal="center" vertical="center"/>
    </xf>
    <xf numFmtId="14" fontId="0" fillId="0" borderId="20" xfId="0" applyNumberFormat="1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168" fontId="3" fillId="0" borderId="0" xfId="0" applyNumberFormat="1" applyFont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0" borderId="0" xfId="0" applyAlignment="1">
      <alignment horizontal="left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2" fontId="0" fillId="0" borderId="0" xfId="0" applyNumberFormat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168" fontId="4" fillId="0" borderId="0" xfId="0" applyNumberFormat="1" applyFont="1" applyFill="1" applyBorder="1" applyAlignment="1">
      <alignment horizontal="right" vertical="center"/>
    </xf>
    <xf numFmtId="20" fontId="4" fillId="0" borderId="19" xfId="0" applyNumberFormat="1" applyFont="1" applyFill="1" applyBorder="1" applyAlignment="1">
      <alignment horizontal="center" vertical="center"/>
    </xf>
    <xf numFmtId="20" fontId="4" fillId="0" borderId="19" xfId="0" applyNumberFormat="1" applyFont="1" applyFill="1" applyBorder="1" applyAlignment="1">
      <alignment horizontal="left" vertical="center"/>
    </xf>
    <xf numFmtId="0" fontId="4" fillId="0" borderId="19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left" vertical="center"/>
    </xf>
    <xf numFmtId="168" fontId="4" fillId="0" borderId="19" xfId="0" applyNumberFormat="1" applyFont="1" applyFill="1" applyBorder="1" applyAlignment="1">
      <alignment horizontal="right" vertical="center"/>
    </xf>
    <xf numFmtId="0" fontId="4" fillId="0" borderId="19" xfId="0" applyFont="1" applyFill="1" applyBorder="1" applyAlignment="1">
      <alignment horizontal="right" vertical="center"/>
    </xf>
    <xf numFmtId="164" fontId="4" fillId="0" borderId="19" xfId="0" applyNumberFormat="1" applyFont="1" applyFill="1" applyBorder="1" applyAlignment="1">
      <alignment horizontal="center" vertical="center"/>
    </xf>
    <xf numFmtId="168" fontId="4" fillId="0" borderId="19" xfId="0" applyNumberFormat="1" applyFont="1" applyFill="1" applyBorder="1" applyAlignment="1">
      <alignment horizontal="center" vertical="center"/>
    </xf>
    <xf numFmtId="14" fontId="4" fillId="0" borderId="19" xfId="0" applyNumberFormat="1" applyFont="1" applyFill="1" applyBorder="1" applyAlignment="1">
      <alignment horizontal="center" vertical="center"/>
    </xf>
    <xf numFmtId="0" fontId="4" fillId="0" borderId="19" xfId="0" applyNumberFormat="1" applyFont="1" applyFill="1" applyBorder="1" applyAlignment="1">
      <alignment horizontal="center" vertical="center"/>
    </xf>
    <xf numFmtId="14" fontId="4" fillId="0" borderId="12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66" fontId="4" fillId="0" borderId="18" xfId="0" applyNumberFormat="1" applyFont="1" applyBorder="1" applyAlignment="1">
      <alignment horizontal="center"/>
    </xf>
    <xf numFmtId="166" fontId="4" fillId="0" borderId="3" xfId="0" applyNumberFormat="1" applyFont="1" applyBorder="1" applyAlignment="1">
      <alignment horizontal="center"/>
    </xf>
    <xf numFmtId="166" fontId="4" fillId="4" borderId="18" xfId="0" applyNumberFormat="1" applyFont="1" applyFill="1" applyBorder="1" applyAlignment="1">
      <alignment horizontal="center" vertical="center"/>
    </xf>
    <xf numFmtId="166" fontId="4" fillId="4" borderId="3" xfId="0" applyNumberFormat="1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66" fontId="4" fillId="0" borderId="5" xfId="0" applyNumberFormat="1" applyFont="1" applyFill="1" applyBorder="1" applyAlignment="1">
      <alignment horizontal="right" vertical="center"/>
    </xf>
    <xf numFmtId="166" fontId="4" fillId="0" borderId="6" xfId="0" applyNumberFormat="1" applyFont="1" applyFill="1" applyBorder="1" applyAlignment="1">
      <alignment horizontal="righ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166" fontId="4" fillId="4" borderId="7" xfId="0" applyNumberFormat="1" applyFont="1" applyFill="1" applyBorder="1" applyAlignment="1">
      <alignment horizontal="right" vertical="center"/>
    </xf>
    <xf numFmtId="166" fontId="4" fillId="4" borderId="8" xfId="0" applyNumberFormat="1" applyFont="1" applyFill="1" applyBorder="1" applyAlignment="1">
      <alignment horizontal="right" vertical="center"/>
    </xf>
    <xf numFmtId="166" fontId="4" fillId="4" borderId="7" xfId="0" applyNumberFormat="1" applyFont="1" applyFill="1" applyBorder="1" applyAlignment="1">
      <alignment horizontal="right"/>
    </xf>
    <xf numFmtId="0" fontId="4" fillId="4" borderId="8" xfId="0" applyFont="1" applyFill="1" applyBorder="1" applyAlignment="1">
      <alignment horizontal="right"/>
    </xf>
    <xf numFmtId="166" fontId="4" fillId="0" borderId="17" xfId="0" applyNumberFormat="1" applyFont="1" applyBorder="1" applyAlignment="1">
      <alignment horizontal="right" vertical="center"/>
    </xf>
    <xf numFmtId="166" fontId="4" fillId="0" borderId="11" xfId="0" applyNumberFormat="1" applyFont="1" applyBorder="1" applyAlignment="1">
      <alignment horizontal="right" vertical="center"/>
    </xf>
    <xf numFmtId="0" fontId="4" fillId="0" borderId="11" xfId="0" applyFont="1" applyBorder="1" applyAlignment="1">
      <alignment horizontal="right" vertical="center"/>
    </xf>
    <xf numFmtId="167" fontId="4" fillId="0" borderId="17" xfId="0" applyNumberFormat="1" applyFont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168" fontId="4" fillId="0" borderId="0" xfId="0" applyNumberFormat="1" applyFont="1" applyAlignment="1">
      <alignment horizontal="right" vertical="center"/>
    </xf>
    <xf numFmtId="167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13607</xdr:colOff>
      <xdr:row>6</xdr:row>
      <xdr:rowOff>113103</xdr:rowOff>
    </xdr:to>
    <xdr:pic>
      <xdr:nvPicPr>
        <xdr:cNvPr id="4" name="Picture 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20" t="13351" r="2835"/>
        <a:stretch/>
      </xdr:blipFill>
      <xdr:spPr bwMode="auto">
        <a:xfrm>
          <a:off x="0" y="0"/>
          <a:ext cx="6234255" cy="8068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56"/>
  <sheetViews>
    <sheetView tabSelected="1" zoomScale="140" zoomScaleNormal="140" workbookViewId="0">
      <selection activeCell="A16" sqref="A16:A17"/>
    </sheetView>
  </sheetViews>
  <sheetFormatPr baseColWidth="10" defaultColWidth="6.5703125" defaultRowHeight="15" x14ac:dyDescent="0.25"/>
  <cols>
    <col min="1" max="1" width="12.85546875" customWidth="1"/>
    <col min="2" max="2" width="10" bestFit="1" customWidth="1"/>
    <col min="3" max="4" width="14.7109375" bestFit="1" customWidth="1"/>
    <col min="5" max="5" width="11.42578125" bestFit="1" customWidth="1"/>
    <col min="6" max="6" width="11.140625" bestFit="1" customWidth="1"/>
    <col min="7" max="7" width="7.7109375" customWidth="1"/>
    <col min="8" max="8" width="13.140625" bestFit="1" customWidth="1"/>
    <col min="11" max="11" width="13.7109375" customWidth="1"/>
    <col min="13" max="13" width="10.5703125" bestFit="1" customWidth="1"/>
  </cols>
  <sheetData>
    <row r="1" spans="1:7" ht="5.25" customHeight="1" x14ac:dyDescent="0.25"/>
    <row r="2" spans="1:7" ht="11.1" customHeight="1" x14ac:dyDescent="0.25"/>
    <row r="3" spans="1:7" ht="8.25" customHeight="1" x14ac:dyDescent="0.25"/>
    <row r="4" spans="1:7" ht="11.1" customHeight="1" x14ac:dyDescent="0.25"/>
    <row r="5" spans="1:7" ht="11.1" customHeight="1" x14ac:dyDescent="0.25"/>
    <row r="6" spans="1:7" ht="11.1" customHeight="1" x14ac:dyDescent="0.25"/>
    <row r="7" spans="1:7" ht="11.1" customHeight="1" x14ac:dyDescent="0.25"/>
    <row r="8" spans="1:7" ht="5.25" customHeight="1" x14ac:dyDescent="0.25"/>
    <row r="9" spans="1:7" x14ac:dyDescent="0.25">
      <c r="A9" s="184" t="s">
        <v>1</v>
      </c>
      <c r="B9" s="184"/>
      <c r="C9" s="184"/>
      <c r="D9" s="184"/>
    </row>
    <row r="10" spans="1:7" ht="1.5" customHeight="1" x14ac:dyDescent="0.25"/>
    <row r="11" spans="1:7" x14ac:dyDescent="0.25">
      <c r="A11" t="s">
        <v>2</v>
      </c>
      <c r="B11" s="184" t="s">
        <v>3</v>
      </c>
      <c r="C11" s="184"/>
      <c r="D11" s="192">
        <f ca="1">NOW()</f>
        <v>42216.578835995373</v>
      </c>
      <c r="E11" s="192"/>
      <c r="F11" s="192"/>
      <c r="G11" s="165"/>
    </row>
    <row r="12" spans="1:7" x14ac:dyDescent="0.25">
      <c r="A12" t="s">
        <v>4</v>
      </c>
      <c r="B12" s="189" t="s">
        <v>0</v>
      </c>
      <c r="C12" s="189"/>
    </row>
    <row r="13" spans="1:7" ht="3.75" customHeight="1" thickBot="1" x14ac:dyDescent="0.3"/>
    <row r="14" spans="1:7" x14ac:dyDescent="0.25">
      <c r="A14" s="190" t="s">
        <v>5</v>
      </c>
      <c r="B14" s="3" t="s">
        <v>6</v>
      </c>
      <c r="C14" s="3" t="s">
        <v>6</v>
      </c>
      <c r="D14" s="3" t="s">
        <v>9</v>
      </c>
      <c r="E14" s="3" t="s">
        <v>10</v>
      </c>
      <c r="F14" s="1" t="s">
        <v>10</v>
      </c>
    </row>
    <row r="15" spans="1:7" ht="15.75" thickBot="1" x14ac:dyDescent="0.3">
      <c r="A15" s="191"/>
      <c r="B15" s="4" t="s">
        <v>7</v>
      </c>
      <c r="C15" s="4" t="s">
        <v>8</v>
      </c>
      <c r="D15" s="4"/>
      <c r="E15" s="4" t="s">
        <v>11</v>
      </c>
      <c r="F15" s="2" t="s">
        <v>12</v>
      </c>
    </row>
    <row r="16" spans="1:7" ht="12.75" customHeight="1" x14ac:dyDescent="0.25">
      <c r="A16" s="181" t="s">
        <v>90</v>
      </c>
      <c r="B16" s="179" t="s">
        <v>91</v>
      </c>
      <c r="C16" s="178">
        <v>0.75</v>
      </c>
      <c r="D16" s="170">
        <f t="shared" ref="D16:D41" si="0">C16-B16</f>
        <v>0.45833333333333331</v>
      </c>
      <c r="E16" s="166">
        <f>HOUR(D16)</f>
        <v>11</v>
      </c>
      <c r="F16" s="167">
        <f>MINUTE(D16)</f>
        <v>0</v>
      </c>
    </row>
    <row r="17" spans="1:10" ht="12.95" customHeight="1" thickBot="1" x14ac:dyDescent="0.3">
      <c r="A17" s="182"/>
      <c r="B17" s="180">
        <v>0.75</v>
      </c>
      <c r="C17" s="180" t="s">
        <v>92</v>
      </c>
      <c r="D17" s="171">
        <f t="shared" si="0"/>
        <v>5.5555555555555469E-2</v>
      </c>
      <c r="E17" s="168">
        <f t="shared" ref="E17:E41" si="1">HOUR(D17)</f>
        <v>1</v>
      </c>
      <c r="F17" s="169">
        <f t="shared" ref="F17:F41" si="2">MINUTE(D17)</f>
        <v>20</v>
      </c>
    </row>
    <row r="18" spans="1:10" ht="12.95" customHeight="1" x14ac:dyDescent="0.25">
      <c r="A18" s="181" t="s">
        <v>90</v>
      </c>
      <c r="B18" s="179" t="s">
        <v>91</v>
      </c>
      <c r="C18" s="178">
        <v>0.75</v>
      </c>
      <c r="D18" s="170">
        <f t="shared" si="0"/>
        <v>0.45833333333333331</v>
      </c>
      <c r="E18" s="166">
        <f t="shared" si="1"/>
        <v>11</v>
      </c>
      <c r="F18" s="167">
        <f t="shared" si="2"/>
        <v>0</v>
      </c>
    </row>
    <row r="19" spans="1:10" ht="12.95" customHeight="1" thickBot="1" x14ac:dyDescent="0.3">
      <c r="A19" s="182"/>
      <c r="B19" s="180">
        <v>0.75</v>
      </c>
      <c r="C19" s="180" t="s">
        <v>92</v>
      </c>
      <c r="D19" s="171">
        <f t="shared" si="0"/>
        <v>5.5555555555555469E-2</v>
      </c>
      <c r="E19" s="168">
        <f t="shared" si="1"/>
        <v>1</v>
      </c>
      <c r="F19" s="169">
        <f t="shared" si="2"/>
        <v>20</v>
      </c>
    </row>
    <row r="20" spans="1:10" ht="12.95" customHeight="1" x14ac:dyDescent="0.25">
      <c r="A20" s="181" t="s">
        <v>90</v>
      </c>
      <c r="B20" s="179" t="s">
        <v>91</v>
      </c>
      <c r="C20" s="178">
        <v>0.75</v>
      </c>
      <c r="D20" s="170">
        <f t="shared" si="0"/>
        <v>0.45833333333333331</v>
      </c>
      <c r="E20" s="166">
        <f t="shared" si="1"/>
        <v>11</v>
      </c>
      <c r="F20" s="167">
        <f t="shared" si="2"/>
        <v>0</v>
      </c>
    </row>
    <row r="21" spans="1:10" ht="12.95" customHeight="1" thickBot="1" x14ac:dyDescent="0.3">
      <c r="A21" s="182"/>
      <c r="B21" s="180">
        <v>0.75</v>
      </c>
      <c r="C21" s="180" t="s">
        <v>92</v>
      </c>
      <c r="D21" s="171">
        <f t="shared" si="0"/>
        <v>5.5555555555555469E-2</v>
      </c>
      <c r="E21" s="168">
        <f t="shared" si="1"/>
        <v>1</v>
      </c>
      <c r="F21" s="169">
        <f t="shared" si="2"/>
        <v>20</v>
      </c>
    </row>
    <row r="22" spans="1:10" ht="12.95" customHeight="1" x14ac:dyDescent="0.25">
      <c r="A22" s="181" t="s">
        <v>90</v>
      </c>
      <c r="B22" s="179" t="s">
        <v>91</v>
      </c>
      <c r="C22" s="178">
        <v>0.75</v>
      </c>
      <c r="D22" s="170">
        <f t="shared" si="0"/>
        <v>0.45833333333333331</v>
      </c>
      <c r="E22" s="166">
        <f t="shared" si="1"/>
        <v>11</v>
      </c>
      <c r="F22" s="167">
        <f t="shared" si="2"/>
        <v>0</v>
      </c>
    </row>
    <row r="23" spans="1:10" ht="12.95" customHeight="1" thickBot="1" x14ac:dyDescent="0.3">
      <c r="A23" s="182"/>
      <c r="B23" s="180">
        <v>0.75</v>
      </c>
      <c r="C23" s="180" t="s">
        <v>92</v>
      </c>
      <c r="D23" s="171">
        <f t="shared" si="0"/>
        <v>5.5555555555555469E-2</v>
      </c>
      <c r="E23" s="168">
        <f t="shared" si="1"/>
        <v>1</v>
      </c>
      <c r="F23" s="169">
        <f t="shared" si="2"/>
        <v>20</v>
      </c>
    </row>
    <row r="24" spans="1:10" ht="12.95" customHeight="1" x14ac:dyDescent="0.25">
      <c r="A24" s="181" t="s">
        <v>90</v>
      </c>
      <c r="B24" s="179" t="s">
        <v>91</v>
      </c>
      <c r="C24" s="178">
        <v>0.75</v>
      </c>
      <c r="D24" s="170">
        <f t="shared" si="0"/>
        <v>0.45833333333333331</v>
      </c>
      <c r="E24" s="166">
        <f t="shared" si="1"/>
        <v>11</v>
      </c>
      <c r="F24" s="167">
        <f t="shared" si="2"/>
        <v>0</v>
      </c>
    </row>
    <row r="25" spans="1:10" ht="12.95" customHeight="1" thickBot="1" x14ac:dyDescent="0.3">
      <c r="A25" s="182"/>
      <c r="B25" s="180">
        <v>0.75</v>
      </c>
      <c r="C25" s="180" t="s">
        <v>92</v>
      </c>
      <c r="D25" s="171">
        <f t="shared" si="0"/>
        <v>5.5555555555555469E-2</v>
      </c>
      <c r="E25" s="168">
        <f t="shared" si="1"/>
        <v>1</v>
      </c>
      <c r="F25" s="169">
        <f t="shared" si="2"/>
        <v>20</v>
      </c>
    </row>
    <row r="26" spans="1:10" ht="12.95" customHeight="1" x14ac:dyDescent="0.25">
      <c r="A26" s="181" t="s">
        <v>90</v>
      </c>
      <c r="B26" s="179" t="s">
        <v>91</v>
      </c>
      <c r="C26" s="178">
        <v>0.75</v>
      </c>
      <c r="D26" s="170">
        <f t="shared" si="0"/>
        <v>0.45833333333333331</v>
      </c>
      <c r="E26" s="166">
        <f t="shared" si="1"/>
        <v>11</v>
      </c>
      <c r="F26" s="167">
        <f t="shared" si="2"/>
        <v>0</v>
      </c>
    </row>
    <row r="27" spans="1:10" ht="12.95" customHeight="1" thickBot="1" x14ac:dyDescent="0.3">
      <c r="A27" s="182"/>
      <c r="B27" s="180">
        <v>0.75</v>
      </c>
      <c r="C27" s="180" t="s">
        <v>92</v>
      </c>
      <c r="D27" s="171">
        <f t="shared" si="0"/>
        <v>5.5555555555555469E-2</v>
      </c>
      <c r="E27" s="168">
        <f t="shared" si="1"/>
        <v>1</v>
      </c>
      <c r="F27" s="169">
        <f t="shared" si="2"/>
        <v>20</v>
      </c>
    </row>
    <row r="28" spans="1:10" ht="12.95" customHeight="1" x14ac:dyDescent="0.25">
      <c r="A28" s="181" t="s">
        <v>90</v>
      </c>
      <c r="B28" s="179" t="s">
        <v>91</v>
      </c>
      <c r="C28" s="178">
        <v>0.75</v>
      </c>
      <c r="D28" s="170">
        <f t="shared" si="0"/>
        <v>0.45833333333333331</v>
      </c>
      <c r="E28" s="166">
        <f t="shared" si="1"/>
        <v>11</v>
      </c>
      <c r="F28" s="167">
        <f t="shared" si="2"/>
        <v>0</v>
      </c>
    </row>
    <row r="29" spans="1:10" ht="12.95" customHeight="1" thickBot="1" x14ac:dyDescent="0.3">
      <c r="A29" s="182"/>
      <c r="B29" s="180">
        <v>0.75</v>
      </c>
      <c r="C29" s="180" t="s">
        <v>92</v>
      </c>
      <c r="D29" s="171">
        <f t="shared" si="0"/>
        <v>5.5555555555555469E-2</v>
      </c>
      <c r="E29" s="168">
        <f t="shared" si="1"/>
        <v>1</v>
      </c>
      <c r="F29" s="169">
        <f t="shared" si="2"/>
        <v>20</v>
      </c>
    </row>
    <row r="30" spans="1:10" ht="12.95" customHeight="1" x14ac:dyDescent="0.25">
      <c r="A30" s="181" t="s">
        <v>90</v>
      </c>
      <c r="B30" s="179" t="s">
        <v>91</v>
      </c>
      <c r="C30" s="178">
        <v>0.75</v>
      </c>
      <c r="D30" s="170">
        <f t="shared" si="0"/>
        <v>0.45833333333333331</v>
      </c>
      <c r="E30" s="166">
        <f t="shared" si="1"/>
        <v>11</v>
      </c>
      <c r="F30" s="167">
        <f t="shared" si="2"/>
        <v>0</v>
      </c>
      <c r="G30" s="120"/>
      <c r="H30" s="5"/>
      <c r="I30" s="5"/>
      <c r="J30" s="5"/>
    </row>
    <row r="31" spans="1:10" ht="12.95" customHeight="1" thickBot="1" x14ac:dyDescent="0.3">
      <c r="A31" s="182"/>
      <c r="B31" s="180">
        <v>0.75</v>
      </c>
      <c r="C31" s="180" t="s">
        <v>92</v>
      </c>
      <c r="D31" s="171">
        <f t="shared" si="0"/>
        <v>5.5555555555555469E-2</v>
      </c>
      <c r="E31" s="168">
        <f t="shared" si="1"/>
        <v>1</v>
      </c>
      <c r="F31" s="169">
        <f t="shared" si="2"/>
        <v>20</v>
      </c>
      <c r="G31" s="5"/>
      <c r="H31" s="5"/>
      <c r="I31" s="5"/>
      <c r="J31" s="5"/>
    </row>
    <row r="32" spans="1:10" ht="12.95" customHeight="1" x14ac:dyDescent="0.25">
      <c r="A32" s="181" t="s">
        <v>90</v>
      </c>
      <c r="B32" s="179" t="s">
        <v>91</v>
      </c>
      <c r="C32" s="178">
        <v>0.75</v>
      </c>
      <c r="D32" s="170">
        <f t="shared" si="0"/>
        <v>0.45833333333333331</v>
      </c>
      <c r="E32" s="166">
        <f t="shared" si="1"/>
        <v>11</v>
      </c>
      <c r="F32" s="167">
        <f t="shared" si="2"/>
        <v>0</v>
      </c>
      <c r="G32" s="5"/>
      <c r="H32" s="5"/>
      <c r="I32" s="5"/>
      <c r="J32" s="5"/>
    </row>
    <row r="33" spans="1:10" ht="12.95" customHeight="1" thickBot="1" x14ac:dyDescent="0.3">
      <c r="A33" s="182"/>
      <c r="B33" s="180">
        <v>0.75</v>
      </c>
      <c r="C33" s="180" t="s">
        <v>92</v>
      </c>
      <c r="D33" s="171">
        <f t="shared" si="0"/>
        <v>5.5555555555555469E-2</v>
      </c>
      <c r="E33" s="168">
        <f t="shared" si="1"/>
        <v>1</v>
      </c>
      <c r="F33" s="169">
        <f t="shared" si="2"/>
        <v>20</v>
      </c>
      <c r="G33" s="5"/>
      <c r="H33" s="5"/>
      <c r="I33" s="5"/>
      <c r="J33" s="5"/>
    </row>
    <row r="34" spans="1:10" ht="12.95" customHeight="1" x14ac:dyDescent="0.25">
      <c r="A34" s="181" t="s">
        <v>90</v>
      </c>
      <c r="B34" s="179" t="s">
        <v>91</v>
      </c>
      <c r="C34" s="178">
        <v>0.75</v>
      </c>
      <c r="D34" s="170">
        <f t="shared" si="0"/>
        <v>0.45833333333333331</v>
      </c>
      <c r="E34" s="166">
        <f t="shared" si="1"/>
        <v>11</v>
      </c>
      <c r="F34" s="167">
        <f t="shared" si="2"/>
        <v>0</v>
      </c>
      <c r="G34" s="5"/>
      <c r="H34" s="5"/>
      <c r="I34" s="5"/>
      <c r="J34" s="5"/>
    </row>
    <row r="35" spans="1:10" ht="12.95" customHeight="1" thickBot="1" x14ac:dyDescent="0.3">
      <c r="A35" s="182"/>
      <c r="B35" s="180">
        <v>0.75</v>
      </c>
      <c r="C35" s="180" t="s">
        <v>92</v>
      </c>
      <c r="D35" s="171">
        <f t="shared" si="0"/>
        <v>5.5555555555555469E-2</v>
      </c>
      <c r="E35" s="168">
        <f t="shared" si="1"/>
        <v>1</v>
      </c>
      <c r="F35" s="169">
        <f t="shared" si="2"/>
        <v>20</v>
      </c>
      <c r="G35" s="5"/>
      <c r="H35" s="5"/>
      <c r="I35" s="5"/>
      <c r="J35" s="5"/>
    </row>
    <row r="36" spans="1:10" ht="12.95" customHeight="1" x14ac:dyDescent="0.25">
      <c r="A36" s="181" t="s">
        <v>90</v>
      </c>
      <c r="B36" s="179" t="s">
        <v>91</v>
      </c>
      <c r="C36" s="178">
        <v>0.75</v>
      </c>
      <c r="D36" s="170">
        <f t="shared" si="0"/>
        <v>0.45833333333333331</v>
      </c>
      <c r="E36" s="166">
        <f t="shared" si="1"/>
        <v>11</v>
      </c>
      <c r="F36" s="167">
        <f t="shared" si="2"/>
        <v>0</v>
      </c>
      <c r="G36" s="5"/>
      <c r="H36" s="5"/>
      <c r="I36" s="5"/>
      <c r="J36" s="5"/>
    </row>
    <row r="37" spans="1:10" ht="12.95" customHeight="1" thickBot="1" x14ac:dyDescent="0.3">
      <c r="A37" s="182"/>
      <c r="B37" s="180">
        <v>0.75</v>
      </c>
      <c r="C37" s="180" t="s">
        <v>92</v>
      </c>
      <c r="D37" s="171">
        <f t="shared" si="0"/>
        <v>5.5555555555555469E-2</v>
      </c>
      <c r="E37" s="168">
        <f t="shared" si="1"/>
        <v>1</v>
      </c>
      <c r="F37" s="169">
        <f t="shared" si="2"/>
        <v>20</v>
      </c>
      <c r="G37" s="5"/>
      <c r="H37" s="5"/>
      <c r="I37" s="5"/>
      <c r="J37" s="5"/>
    </row>
    <row r="38" spans="1:10" ht="12.95" customHeight="1" x14ac:dyDescent="0.25">
      <c r="A38" s="181" t="s">
        <v>90</v>
      </c>
      <c r="B38" s="179" t="s">
        <v>91</v>
      </c>
      <c r="C38" s="178">
        <v>0.75</v>
      </c>
      <c r="D38" s="170">
        <f t="shared" si="0"/>
        <v>0.45833333333333331</v>
      </c>
      <c r="E38" s="166">
        <f t="shared" si="1"/>
        <v>11</v>
      </c>
      <c r="F38" s="167">
        <f t="shared" si="2"/>
        <v>0</v>
      </c>
      <c r="G38" s="5"/>
      <c r="H38" s="5"/>
      <c r="I38" s="5"/>
      <c r="J38" s="5"/>
    </row>
    <row r="39" spans="1:10" ht="12.95" customHeight="1" thickBot="1" x14ac:dyDescent="0.3">
      <c r="A39" s="182"/>
      <c r="B39" s="180">
        <v>0.75</v>
      </c>
      <c r="C39" s="180" t="s">
        <v>92</v>
      </c>
      <c r="D39" s="171">
        <f t="shared" si="0"/>
        <v>5.5555555555555469E-2</v>
      </c>
      <c r="E39" s="168">
        <f t="shared" si="1"/>
        <v>1</v>
      </c>
      <c r="F39" s="169">
        <f t="shared" si="2"/>
        <v>20</v>
      </c>
      <c r="G39" s="5"/>
      <c r="H39" s="5"/>
      <c r="I39" s="5"/>
      <c r="J39" s="5"/>
    </row>
    <row r="40" spans="1:10" ht="12.95" customHeight="1" x14ac:dyDescent="0.25">
      <c r="A40" s="181"/>
      <c r="B40" s="179" t="s">
        <v>91</v>
      </c>
      <c r="C40" s="178">
        <v>0.75</v>
      </c>
      <c r="D40" s="170">
        <f t="shared" si="0"/>
        <v>0.45833333333333331</v>
      </c>
      <c r="E40" s="166">
        <f t="shared" si="1"/>
        <v>11</v>
      </c>
      <c r="F40" s="167">
        <f t="shared" si="2"/>
        <v>0</v>
      </c>
      <c r="G40" s="5"/>
      <c r="H40" s="5"/>
      <c r="I40" s="5"/>
      <c r="J40" s="5"/>
    </row>
    <row r="41" spans="1:10" ht="12.95" customHeight="1" thickBot="1" x14ac:dyDescent="0.3">
      <c r="A41" s="182"/>
      <c r="B41" s="180">
        <v>0.75</v>
      </c>
      <c r="C41" s="180" t="s">
        <v>92</v>
      </c>
      <c r="D41" s="171">
        <f t="shared" si="0"/>
        <v>5.5555555555555469E-2</v>
      </c>
      <c r="E41" s="168">
        <f t="shared" si="1"/>
        <v>1</v>
      </c>
      <c r="F41" s="169">
        <f t="shared" si="2"/>
        <v>20</v>
      </c>
      <c r="G41" s="5"/>
      <c r="H41" s="5"/>
      <c r="I41" s="5"/>
      <c r="J41" s="5"/>
    </row>
    <row r="42" spans="1:10" ht="3.75" customHeight="1" thickBot="1" x14ac:dyDescent="0.3">
      <c r="G42" s="5"/>
      <c r="H42" s="5"/>
      <c r="I42" s="5"/>
      <c r="J42" s="5"/>
    </row>
    <row r="43" spans="1:10" ht="15.75" thickTop="1" x14ac:dyDescent="0.25">
      <c r="A43" t="s">
        <v>13</v>
      </c>
      <c r="B43" s="8">
        <f t="shared" ref="B43:E44" si="3">B16+B18+B20+B22+B24+B26+B28+B30+B32+B34+B36+B38+B40</f>
        <v>3.7916666666666661</v>
      </c>
      <c r="C43" s="8">
        <f t="shared" si="3"/>
        <v>9.75</v>
      </c>
      <c r="D43" s="9">
        <f t="shared" si="3"/>
        <v>5.9583333333333321</v>
      </c>
      <c r="E43" s="10">
        <f t="shared" si="3"/>
        <v>143</v>
      </c>
      <c r="F43" s="11">
        <f>(F16+F18+F20+F22+F24+F26+F28+F30+F32+F34+F36+F38+F40)/60</f>
        <v>0</v>
      </c>
      <c r="G43" s="5"/>
      <c r="H43" s="5"/>
      <c r="I43" s="7"/>
      <c r="J43" s="5"/>
    </row>
    <row r="44" spans="1:10" ht="15.75" thickBot="1" x14ac:dyDescent="0.3">
      <c r="A44" t="s">
        <v>14</v>
      </c>
      <c r="B44" s="8">
        <f t="shared" si="3"/>
        <v>9.75</v>
      </c>
      <c r="C44" s="8">
        <f t="shared" si="3"/>
        <v>10.472222222222221</v>
      </c>
      <c r="D44" s="172">
        <f>D17+D19+D21+D23+D25+D27+D29+D31+D33+D35+D37+D39+D41</f>
        <v>0.7222222222222211</v>
      </c>
      <c r="E44" s="173">
        <f t="shared" si="3"/>
        <v>13</v>
      </c>
      <c r="F44" s="174">
        <f>(F17+F19+F21+F23+F25+F27+F29+F31+F33+F35+F37+F39+F41)/60</f>
        <v>4.333333333333333</v>
      </c>
      <c r="G44" s="5"/>
      <c r="H44" s="5"/>
      <c r="I44" s="7"/>
      <c r="J44" s="5"/>
    </row>
    <row r="45" spans="1:10" ht="15.75" thickBot="1" x14ac:dyDescent="0.3">
      <c r="A45" t="s">
        <v>15</v>
      </c>
      <c r="B45" s="5"/>
      <c r="D45" s="177">
        <f>D40+D41</f>
        <v>0.51388888888888884</v>
      </c>
      <c r="E45" s="175"/>
      <c r="F45" s="176"/>
      <c r="G45" s="5"/>
      <c r="H45" s="5"/>
      <c r="I45" s="5"/>
      <c r="J45" s="5"/>
    </row>
    <row r="46" spans="1:10" ht="2.25" customHeight="1" x14ac:dyDescent="0.25">
      <c r="B46" s="5"/>
      <c r="E46" t="s">
        <v>93</v>
      </c>
      <c r="F46">
        <f>F18+F19+F20+F21</f>
        <v>40</v>
      </c>
      <c r="G46" s="5"/>
      <c r="H46" s="5"/>
      <c r="I46" s="5"/>
      <c r="J46" s="5"/>
    </row>
    <row r="47" spans="1:10" x14ac:dyDescent="0.25">
      <c r="A47" t="s">
        <v>16</v>
      </c>
      <c r="B47" s="5"/>
      <c r="C47" s="6">
        <f>E43+F43</f>
        <v>143</v>
      </c>
      <c r="D47" s="17" t="s">
        <v>20</v>
      </c>
      <c r="E47" s="18">
        <v>15727.8135</v>
      </c>
      <c r="F47" s="121"/>
      <c r="G47" s="5"/>
      <c r="H47" s="12"/>
      <c r="I47" s="5"/>
      <c r="J47" s="5"/>
    </row>
    <row r="48" spans="1:10" x14ac:dyDescent="0.25">
      <c r="A48" t="s">
        <v>17</v>
      </c>
      <c r="C48">
        <f>E44+F44</f>
        <v>17.333333333333332</v>
      </c>
      <c r="D48" s="13" t="s">
        <v>22</v>
      </c>
      <c r="E48" s="14">
        <f>E47*0.25</f>
        <v>3931.9533750000001</v>
      </c>
      <c r="F48" s="12"/>
      <c r="H48" s="12"/>
    </row>
    <row r="49" spans="1:6" x14ac:dyDescent="0.25">
      <c r="A49" t="s">
        <v>18</v>
      </c>
      <c r="C49" s="6">
        <f>C47+C48</f>
        <v>160.33333333333334</v>
      </c>
      <c r="D49" s="15" t="s">
        <v>21</v>
      </c>
      <c r="E49" s="16">
        <f>+E47</f>
        <v>15727.8135</v>
      </c>
    </row>
    <row r="50" spans="1:6" x14ac:dyDescent="0.25">
      <c r="A50" t="s">
        <v>19</v>
      </c>
      <c r="C50">
        <f>E45+F45</f>
        <v>0</v>
      </c>
    </row>
    <row r="51" spans="1:6" x14ac:dyDescent="0.25">
      <c r="A51" s="187" t="s">
        <v>23</v>
      </c>
      <c r="B51" s="187"/>
      <c r="C51" s="18">
        <f>C49*E47</f>
        <v>2521692.7645</v>
      </c>
    </row>
    <row r="52" spans="1:6" x14ac:dyDescent="0.25">
      <c r="A52" s="188" t="s">
        <v>24</v>
      </c>
      <c r="B52" s="188"/>
      <c r="C52" s="14">
        <f>C48*E48</f>
        <v>68153.858500000002</v>
      </c>
      <c r="F52" s="12"/>
    </row>
    <row r="53" spans="1:6" x14ac:dyDescent="0.25">
      <c r="A53" s="183" t="s">
        <v>25</v>
      </c>
      <c r="B53" s="183"/>
      <c r="C53" s="16">
        <f>C50*E49</f>
        <v>0</v>
      </c>
    </row>
    <row r="54" spans="1:6" x14ac:dyDescent="0.25">
      <c r="A54" s="184" t="s">
        <v>26</v>
      </c>
      <c r="B54" s="184"/>
    </row>
    <row r="55" spans="1:6" ht="15.6" customHeight="1" x14ac:dyDescent="0.25">
      <c r="A55" s="185" t="s">
        <v>28</v>
      </c>
      <c r="B55" s="185"/>
      <c r="C55" s="186">
        <f>SUM(C51:C53)</f>
        <v>2589846.6230000001</v>
      </c>
    </row>
    <row r="56" spans="1:6" ht="15" customHeight="1" x14ac:dyDescent="0.25">
      <c r="C56" s="186"/>
    </row>
  </sheetData>
  <customSheetViews>
    <customSheetView guid="{22025D35-FBC9-4749-A019-EF1F1F0642C2}" scale="60" showPageBreaks="1" fitToPage="1" view="pageBreakPreview" topLeftCell="A10">
      <selection activeCell="F45" sqref="F45"/>
      <pageMargins left="0.7" right="0.7" top="0.75" bottom="0.75" header="0.3" footer="0.3"/>
      <pageSetup orientation="portrait" horizontalDpi="300" verticalDpi="300" r:id="rId1"/>
    </customSheetView>
  </customSheetViews>
  <mergeCells count="24">
    <mergeCell ref="A30:A31"/>
    <mergeCell ref="A32:A33"/>
    <mergeCell ref="A9:D9"/>
    <mergeCell ref="B11:C11"/>
    <mergeCell ref="B12:C12"/>
    <mergeCell ref="A14:A15"/>
    <mergeCell ref="A16:A17"/>
    <mergeCell ref="A18:A19"/>
    <mergeCell ref="A20:A21"/>
    <mergeCell ref="A22:A23"/>
    <mergeCell ref="A24:A25"/>
    <mergeCell ref="A26:A27"/>
    <mergeCell ref="A28:A29"/>
    <mergeCell ref="D11:F11"/>
    <mergeCell ref="A54:B54"/>
    <mergeCell ref="A55:B55"/>
    <mergeCell ref="C55:C56"/>
    <mergeCell ref="A51:B51"/>
    <mergeCell ref="A52:B52"/>
    <mergeCell ref="A40:A41"/>
    <mergeCell ref="A38:A39"/>
    <mergeCell ref="A36:A37"/>
    <mergeCell ref="A34:A35"/>
    <mergeCell ref="A53:B53"/>
  </mergeCells>
  <pageMargins left="1.299212598425197" right="0.70866141732283472" top="0.74803149606299213" bottom="0.74803149606299213" header="0.31496062992125984" footer="0.31496062992125984"/>
  <pageSetup orientation="portrait" horizontalDpi="300" verticalDpi="3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AQ70"/>
  <sheetViews>
    <sheetView view="pageBreakPreview" zoomScaleNormal="85" zoomScaleSheetLayoutView="100" workbookViewId="0">
      <selection activeCell="AM42" sqref="A1:AM42"/>
    </sheetView>
  </sheetViews>
  <sheetFormatPr baseColWidth="10" defaultColWidth="11.42578125" defaultRowHeight="12" customHeight="1" x14ac:dyDescent="0.25"/>
  <cols>
    <col min="1" max="1" width="9" style="130" bestFit="1" customWidth="1"/>
    <col min="2" max="2" width="1.42578125" style="130" customWidth="1"/>
    <col min="3" max="5" width="5.7109375" style="130" customWidth="1"/>
    <col min="6" max="6" width="1.42578125" style="130" customWidth="1"/>
    <col min="7" max="9" width="5.7109375" style="130" customWidth="1"/>
    <col min="10" max="10" width="1.42578125" style="130" customWidth="1"/>
    <col min="11" max="13" width="5.7109375" style="130" customWidth="1"/>
    <col min="14" max="14" width="1.42578125" style="130" customWidth="1"/>
    <col min="15" max="17" width="5.7109375" style="130" customWidth="1"/>
    <col min="18" max="18" width="1.42578125" style="130" customWidth="1"/>
    <col min="19" max="21" width="5.7109375" style="130" customWidth="1"/>
    <col min="22" max="22" width="1.42578125" style="130" customWidth="1"/>
    <col min="23" max="25" width="5.7109375" style="130" customWidth="1"/>
    <col min="26" max="26" width="1.42578125" style="130" customWidth="1"/>
    <col min="27" max="29" width="5.7109375" style="130" customWidth="1"/>
    <col min="30" max="30" width="1.42578125" style="130" customWidth="1"/>
    <col min="31" max="33" width="5.7109375" style="130" customWidth="1"/>
    <col min="34" max="34" width="1.42578125" style="130" customWidth="1"/>
    <col min="35" max="37" width="5.7109375" style="130" customWidth="1"/>
    <col min="38" max="38" width="1.42578125" style="130" customWidth="1"/>
    <col min="39" max="39" width="12.140625" style="151" bestFit="1" customWidth="1"/>
    <col min="40" max="40" width="2" style="130" customWidth="1"/>
    <col min="41" max="41" width="11.42578125" style="153"/>
    <col min="42" max="42" width="11.140625" style="130" bestFit="1" customWidth="1"/>
    <col min="43" max="16384" width="11.42578125" style="130"/>
  </cols>
  <sheetData>
    <row r="1" spans="1:43" ht="12" customHeight="1" x14ac:dyDescent="0.25">
      <c r="AO1" s="160"/>
    </row>
    <row r="2" spans="1:43" ht="12" customHeight="1" x14ac:dyDescent="0.25">
      <c r="A2" s="141"/>
      <c r="B2" s="141"/>
      <c r="C2" s="141"/>
      <c r="D2" s="149"/>
      <c r="E2" s="150"/>
      <c r="F2" s="141"/>
      <c r="G2" s="141"/>
      <c r="H2" s="152"/>
      <c r="I2" s="141"/>
      <c r="J2" s="141"/>
      <c r="K2" s="141"/>
      <c r="L2" s="142"/>
      <c r="M2" s="142"/>
      <c r="N2" s="142"/>
      <c r="O2" s="141"/>
      <c r="P2" s="141"/>
      <c r="Q2" s="141"/>
      <c r="R2" s="141"/>
      <c r="S2" s="141"/>
      <c r="T2" s="142"/>
      <c r="U2" s="142"/>
      <c r="V2" s="142"/>
      <c r="W2" s="141"/>
      <c r="X2" s="141"/>
      <c r="AO2" s="160"/>
    </row>
    <row r="3" spans="1:43" ht="12" customHeight="1" x14ac:dyDescent="0.25">
      <c r="AO3" s="160"/>
    </row>
    <row r="4" spans="1:43" ht="12" customHeight="1" x14ac:dyDescent="0.25">
      <c r="A4" s="45" t="s">
        <v>74</v>
      </c>
      <c r="B4" s="45"/>
      <c r="C4" s="193" t="s">
        <v>30</v>
      </c>
      <c r="D4" s="193"/>
      <c r="E4" s="193"/>
      <c r="F4" s="45"/>
      <c r="G4" s="193" t="s">
        <v>33</v>
      </c>
      <c r="H4" s="193"/>
      <c r="I4" s="193"/>
      <c r="J4" s="45"/>
      <c r="K4" s="193" t="s">
        <v>34</v>
      </c>
      <c r="L4" s="193"/>
      <c r="M4" s="193"/>
      <c r="N4" s="45"/>
      <c r="O4" s="193" t="s">
        <v>35</v>
      </c>
      <c r="P4" s="193"/>
      <c r="Q4" s="193"/>
      <c r="R4" s="45"/>
      <c r="S4" s="193" t="s">
        <v>37</v>
      </c>
      <c r="T4" s="193"/>
      <c r="U4" s="193"/>
      <c r="V4" s="45"/>
      <c r="W4" s="193" t="s">
        <v>38</v>
      </c>
      <c r="X4" s="193"/>
      <c r="Y4" s="193"/>
      <c r="Z4" s="45"/>
      <c r="AA4" s="193" t="s">
        <v>45</v>
      </c>
      <c r="AB4" s="193"/>
      <c r="AC4" s="193"/>
      <c r="AD4" s="45"/>
      <c r="AE4" s="193" t="s">
        <v>46</v>
      </c>
      <c r="AF4" s="193"/>
      <c r="AG4" s="193"/>
      <c r="AH4" s="45"/>
      <c r="AI4" s="193" t="s">
        <v>47</v>
      </c>
      <c r="AJ4" s="193"/>
      <c r="AK4" s="193"/>
      <c r="AL4" s="45"/>
      <c r="AM4" s="145" t="s">
        <v>27</v>
      </c>
      <c r="AN4" s="45"/>
      <c r="AO4" s="161" t="s">
        <v>89</v>
      </c>
      <c r="AP4" s="45"/>
      <c r="AQ4" s="45"/>
    </row>
    <row r="5" spans="1:43" ht="12" customHeight="1" x14ac:dyDescent="0.25">
      <c r="A5" s="45"/>
      <c r="B5" s="45"/>
      <c r="C5" s="45" t="s">
        <v>75</v>
      </c>
      <c r="D5" s="45" t="s">
        <v>76</v>
      </c>
      <c r="E5" s="45" t="s">
        <v>77</v>
      </c>
      <c r="F5" s="45"/>
      <c r="G5" s="45" t="s">
        <v>75</v>
      </c>
      <c r="H5" s="45" t="s">
        <v>76</v>
      </c>
      <c r="I5" s="45" t="s">
        <v>77</v>
      </c>
      <c r="J5" s="45"/>
      <c r="K5" s="45" t="s">
        <v>75</v>
      </c>
      <c r="L5" s="45" t="s">
        <v>76</v>
      </c>
      <c r="M5" s="45" t="s">
        <v>77</v>
      </c>
      <c r="N5" s="45"/>
      <c r="O5" s="45" t="s">
        <v>75</v>
      </c>
      <c r="P5" s="45" t="s">
        <v>76</v>
      </c>
      <c r="Q5" s="45" t="s">
        <v>77</v>
      </c>
      <c r="R5" s="45"/>
      <c r="S5" s="45" t="s">
        <v>75</v>
      </c>
      <c r="T5" s="45" t="s">
        <v>76</v>
      </c>
      <c r="U5" s="45" t="s">
        <v>77</v>
      </c>
      <c r="V5" s="45"/>
      <c r="W5" s="45" t="s">
        <v>75</v>
      </c>
      <c r="X5" s="45" t="s">
        <v>76</v>
      </c>
      <c r="Y5" s="45" t="s">
        <v>77</v>
      </c>
      <c r="Z5" s="45"/>
      <c r="AA5" s="45" t="s">
        <v>75</v>
      </c>
      <c r="AB5" s="45" t="s">
        <v>76</v>
      </c>
      <c r="AC5" s="45" t="s">
        <v>77</v>
      </c>
      <c r="AD5" s="45"/>
      <c r="AE5" s="45" t="s">
        <v>75</v>
      </c>
      <c r="AF5" s="45" t="s">
        <v>76</v>
      </c>
      <c r="AG5" s="45" t="s">
        <v>77</v>
      </c>
      <c r="AH5" s="45"/>
      <c r="AI5" s="45" t="s">
        <v>75</v>
      </c>
      <c r="AJ5" s="45" t="s">
        <v>76</v>
      </c>
      <c r="AK5" s="45" t="s">
        <v>77</v>
      </c>
      <c r="AL5" s="45"/>
      <c r="AM5" s="138"/>
      <c r="AN5" s="45"/>
      <c r="AO5" s="162"/>
      <c r="AP5" s="45"/>
      <c r="AQ5" s="45"/>
    </row>
    <row r="6" spans="1:43" ht="12" customHeight="1" x14ac:dyDescent="0.25">
      <c r="A6" s="154" t="str">
        <f>+'Por Horas'!A16</f>
        <v/>
      </c>
      <c r="B6" s="33"/>
      <c r="C6" s="33" t="str">
        <f>+'Por Horas'!B16</f>
        <v>07:00</v>
      </c>
      <c r="D6" s="33">
        <f>C6+AO6</f>
        <v>0.34876543209876543</v>
      </c>
      <c r="E6" s="33">
        <f>D6-C6</f>
        <v>5.7098765432098741E-2</v>
      </c>
      <c r="F6" s="33"/>
      <c r="G6" s="33">
        <f>+D6</f>
        <v>0.34876543209876543</v>
      </c>
      <c r="H6" s="33">
        <f>G6+AO6</f>
        <v>0.40586419753086417</v>
      </c>
      <c r="I6" s="33">
        <f>H6-G6</f>
        <v>5.7098765432098741E-2</v>
      </c>
      <c r="J6" s="33"/>
      <c r="K6" s="33">
        <f>+H6</f>
        <v>0.40586419753086417</v>
      </c>
      <c r="L6" s="33">
        <f>K6+AO6</f>
        <v>0.46296296296296291</v>
      </c>
      <c r="M6" s="33">
        <f>L6-K6</f>
        <v>5.7098765432098741E-2</v>
      </c>
      <c r="N6" s="33"/>
      <c r="O6" s="33">
        <f>+L6</f>
        <v>0.46296296296296291</v>
      </c>
      <c r="P6" s="33">
        <f>O6+AO6</f>
        <v>0.52006172839506171</v>
      </c>
      <c r="Q6" s="33">
        <f>P6-O6</f>
        <v>5.7098765432098797E-2</v>
      </c>
      <c r="R6" s="33"/>
      <c r="S6" s="33">
        <f>+P6</f>
        <v>0.52006172839506171</v>
      </c>
      <c r="T6" s="33">
        <f>S6+AO6</f>
        <v>0.5771604938271605</v>
      </c>
      <c r="U6" s="33">
        <f>T6-S6</f>
        <v>5.7098765432098797E-2</v>
      </c>
      <c r="V6" s="33"/>
      <c r="W6" s="33">
        <f>+T6</f>
        <v>0.5771604938271605</v>
      </c>
      <c r="X6" s="33">
        <f>W6+AO6</f>
        <v>0.6342592592592593</v>
      </c>
      <c r="Y6" s="33">
        <f>X6-W6</f>
        <v>5.7098765432098797E-2</v>
      </c>
      <c r="Z6" s="33"/>
      <c r="AA6" s="33">
        <f>+X6</f>
        <v>0.6342592592592593</v>
      </c>
      <c r="AB6" s="33">
        <f>AA6+AO6</f>
        <v>0.6913580246913581</v>
      </c>
      <c r="AC6" s="33">
        <f>AB6-AA6</f>
        <v>5.7098765432098797E-2</v>
      </c>
      <c r="AD6" s="33"/>
      <c r="AE6" s="33">
        <f>+AB6</f>
        <v>0.6913580246913581</v>
      </c>
      <c r="AF6" s="33">
        <f>AE6+AO6</f>
        <v>0.74845679012345689</v>
      </c>
      <c r="AG6" s="33">
        <f>AF6-AE6</f>
        <v>5.7098765432098797E-2</v>
      </c>
      <c r="AH6" s="33"/>
      <c r="AI6" s="33">
        <f>+AF6</f>
        <v>0.74845679012345689</v>
      </c>
      <c r="AJ6" s="33" t="str">
        <f>IF('Por Horas'!C16='Por Horas'!B17,'Por Horas'!C17,'Por Horas'!C16)</f>
        <v>19:20</v>
      </c>
      <c r="AK6" s="33">
        <f>AJ6-AI6</f>
        <v>5.7098765432098575E-2</v>
      </c>
      <c r="AL6" s="45"/>
      <c r="AM6" s="138">
        <f>AJ6-C6</f>
        <v>0.51388888888888884</v>
      </c>
      <c r="AN6" s="45"/>
      <c r="AO6" s="162">
        <f>AM6/9</f>
        <v>5.7098765432098762E-2</v>
      </c>
      <c r="AP6" s="45"/>
      <c r="AQ6" s="45"/>
    </row>
    <row r="7" spans="1:43" ht="12" customHeight="1" x14ac:dyDescent="0.25">
      <c r="A7" s="154" t="str">
        <f>+'Por Horas'!A18</f>
        <v/>
      </c>
      <c r="B7" s="33"/>
      <c r="C7" s="33" t="str">
        <f>+'Por Horas'!B18</f>
        <v>07:00</v>
      </c>
      <c r="D7" s="33">
        <f>C7+AO7</f>
        <v>0.34876543209876543</v>
      </c>
      <c r="E7" s="33">
        <f t="shared" ref="E7:E17" si="0">D7-C7</f>
        <v>5.7098765432098741E-2</v>
      </c>
      <c r="F7" s="33"/>
      <c r="G7" s="33">
        <f>+D7</f>
        <v>0.34876543209876543</v>
      </c>
      <c r="H7" s="33">
        <f>G7+AO7</f>
        <v>0.40586419753086417</v>
      </c>
      <c r="I7" s="33">
        <f t="shared" ref="I7:I17" si="1">H7-G7</f>
        <v>5.7098765432098741E-2</v>
      </c>
      <c r="J7" s="33"/>
      <c r="K7" s="33">
        <f>+H7</f>
        <v>0.40586419753086417</v>
      </c>
      <c r="L7" s="33">
        <f>K7+AO7</f>
        <v>0.46296296296296291</v>
      </c>
      <c r="M7" s="33">
        <f t="shared" ref="M7:M17" si="2">L7-K7</f>
        <v>5.7098765432098741E-2</v>
      </c>
      <c r="N7" s="33"/>
      <c r="O7" s="33">
        <f>+L7</f>
        <v>0.46296296296296291</v>
      </c>
      <c r="P7" s="33">
        <f>O7+AO7</f>
        <v>0.52006172839506171</v>
      </c>
      <c r="Q7" s="33">
        <f t="shared" ref="Q7:Q17" si="3">P7-O7</f>
        <v>5.7098765432098797E-2</v>
      </c>
      <c r="R7" s="33"/>
      <c r="S7" s="33">
        <f>+P7</f>
        <v>0.52006172839506171</v>
      </c>
      <c r="T7" s="33">
        <f>S7+AO7</f>
        <v>0.5771604938271605</v>
      </c>
      <c r="U7" s="33">
        <f t="shared" ref="U7:U17" si="4">T7-S7</f>
        <v>5.7098765432098797E-2</v>
      </c>
      <c r="V7" s="33"/>
      <c r="W7" s="33">
        <f>+T7</f>
        <v>0.5771604938271605</v>
      </c>
      <c r="X7" s="33">
        <f>W7+AO7</f>
        <v>0.6342592592592593</v>
      </c>
      <c r="Y7" s="33">
        <f t="shared" ref="Y7:Y17" si="5">X7-W7</f>
        <v>5.7098765432098797E-2</v>
      </c>
      <c r="Z7" s="33"/>
      <c r="AA7" s="33">
        <f t="shared" ref="AA7:AA8" si="6">+X7</f>
        <v>0.6342592592592593</v>
      </c>
      <c r="AB7" s="33">
        <f t="shared" ref="AB7:AB8" si="7">AA7+AO7</f>
        <v>0.6913580246913581</v>
      </c>
      <c r="AC7" s="33">
        <f t="shared" ref="AC7:AC17" si="8">AB7-AA7</f>
        <v>5.7098765432098797E-2</v>
      </c>
      <c r="AD7" s="33"/>
      <c r="AE7" s="33">
        <f t="shared" ref="AE7:AE8" si="9">+AB7</f>
        <v>0.6913580246913581</v>
      </c>
      <c r="AF7" s="33">
        <f t="shared" ref="AF7:AF8" si="10">AE7+AO7</f>
        <v>0.74845679012345689</v>
      </c>
      <c r="AG7" s="33">
        <f t="shared" ref="AG7:AG17" si="11">AF7-AE7</f>
        <v>5.7098765432098797E-2</v>
      </c>
      <c r="AH7" s="33"/>
      <c r="AI7" s="33">
        <f t="shared" ref="AI7:AI8" si="12">+AF7</f>
        <v>0.74845679012345689</v>
      </c>
      <c r="AJ7" s="33" t="str">
        <f>IF('Por Horas'!B19='Por Horas'!C18,'Por Horas'!C19,'Por Horas'!C18)</f>
        <v>19:20</v>
      </c>
      <c r="AK7" s="33">
        <f t="shared" ref="AK7:AK17" si="13">AJ7-AI7</f>
        <v>5.7098765432098575E-2</v>
      </c>
      <c r="AL7" s="45"/>
      <c r="AM7" s="138">
        <f>AJ7-C7</f>
        <v>0.51388888888888884</v>
      </c>
      <c r="AN7" s="45"/>
      <c r="AO7" s="162">
        <f t="shared" ref="AO7:AO17" si="14">AM7/9</f>
        <v>5.7098765432098762E-2</v>
      </c>
      <c r="AP7" s="45"/>
      <c r="AQ7" s="45"/>
    </row>
    <row r="8" spans="1:43" ht="12" customHeight="1" x14ac:dyDescent="0.25">
      <c r="A8" s="154" t="str">
        <f>+'Por Horas'!A20</f>
        <v/>
      </c>
      <c r="B8" s="33"/>
      <c r="C8" s="33" t="str">
        <f>+'Por Horas'!B20</f>
        <v>07:00</v>
      </c>
      <c r="D8" s="33">
        <f>C8+AO8</f>
        <v>0.34876543209876543</v>
      </c>
      <c r="E8" s="33">
        <f t="shared" si="0"/>
        <v>5.7098765432098741E-2</v>
      </c>
      <c r="F8" s="33"/>
      <c r="G8" s="33">
        <f>+D8</f>
        <v>0.34876543209876543</v>
      </c>
      <c r="H8" s="33">
        <f>G8+AO8</f>
        <v>0.40586419753086417</v>
      </c>
      <c r="I8" s="33">
        <f t="shared" si="1"/>
        <v>5.7098765432098741E-2</v>
      </c>
      <c r="J8" s="33"/>
      <c r="K8" s="33">
        <f>+H8</f>
        <v>0.40586419753086417</v>
      </c>
      <c r="L8" s="33">
        <f>K8+AO8</f>
        <v>0.46296296296296291</v>
      </c>
      <c r="M8" s="33">
        <f t="shared" si="2"/>
        <v>5.7098765432098741E-2</v>
      </c>
      <c r="N8" s="33"/>
      <c r="O8" s="33">
        <f>+L8</f>
        <v>0.46296296296296291</v>
      </c>
      <c r="P8" s="33">
        <f>O8+AO8</f>
        <v>0.52006172839506171</v>
      </c>
      <c r="Q8" s="33">
        <f t="shared" si="3"/>
        <v>5.7098765432098797E-2</v>
      </c>
      <c r="R8" s="33"/>
      <c r="S8" s="33">
        <f>+P8</f>
        <v>0.52006172839506171</v>
      </c>
      <c r="T8" s="33">
        <f>S8+AO8</f>
        <v>0.5771604938271605</v>
      </c>
      <c r="U8" s="33">
        <f t="shared" si="4"/>
        <v>5.7098765432098797E-2</v>
      </c>
      <c r="V8" s="33"/>
      <c r="W8" s="33">
        <f>+T8</f>
        <v>0.5771604938271605</v>
      </c>
      <c r="X8" s="33">
        <f>W8+AO8</f>
        <v>0.6342592592592593</v>
      </c>
      <c r="Y8" s="33">
        <f t="shared" si="5"/>
        <v>5.7098765432098797E-2</v>
      </c>
      <c r="Z8" s="33"/>
      <c r="AA8" s="33">
        <f t="shared" si="6"/>
        <v>0.6342592592592593</v>
      </c>
      <c r="AB8" s="33">
        <f t="shared" si="7"/>
        <v>0.6913580246913581</v>
      </c>
      <c r="AC8" s="33">
        <f t="shared" si="8"/>
        <v>5.7098765432098797E-2</v>
      </c>
      <c r="AD8" s="33"/>
      <c r="AE8" s="33">
        <f t="shared" si="9"/>
        <v>0.6913580246913581</v>
      </c>
      <c r="AF8" s="33">
        <f t="shared" si="10"/>
        <v>0.74845679012345689</v>
      </c>
      <c r="AG8" s="33">
        <f t="shared" si="11"/>
        <v>5.7098765432098797E-2</v>
      </c>
      <c r="AH8" s="33"/>
      <c r="AI8" s="33">
        <f t="shared" si="12"/>
        <v>0.74845679012345689</v>
      </c>
      <c r="AJ8" s="33" t="str">
        <f>IF('Por Horas'!B21='Por Horas'!C20,'Por Horas'!C21,'Por Horas'!C20)</f>
        <v>19:20</v>
      </c>
      <c r="AK8" s="33">
        <f t="shared" si="13"/>
        <v>5.7098765432098575E-2</v>
      </c>
      <c r="AL8" s="45"/>
      <c r="AM8" s="138">
        <f>AJ8-C8</f>
        <v>0.51388888888888884</v>
      </c>
      <c r="AN8" s="45"/>
      <c r="AO8" s="162">
        <f t="shared" si="14"/>
        <v>5.7098765432098762E-2</v>
      </c>
      <c r="AP8" s="33"/>
      <c r="AQ8" s="45"/>
    </row>
    <row r="9" spans="1:43" ht="12" customHeight="1" x14ac:dyDescent="0.25">
      <c r="A9" s="154" t="str">
        <f>+'Por Horas'!A22</f>
        <v/>
      </c>
      <c r="B9" s="33"/>
      <c r="C9" s="33" t="str">
        <f>+'Por Horas'!B22</f>
        <v>07:00</v>
      </c>
      <c r="D9" s="33">
        <f t="shared" ref="D9:D17" si="15">C9+AO9</f>
        <v>0.34876543209876543</v>
      </c>
      <c r="E9" s="33">
        <f t="shared" si="0"/>
        <v>5.7098765432098741E-2</v>
      </c>
      <c r="F9" s="33"/>
      <c r="G9" s="33">
        <f t="shared" ref="G9:G17" si="16">+D9</f>
        <v>0.34876543209876543</v>
      </c>
      <c r="H9" s="33">
        <f t="shared" ref="H9:H17" si="17">G9+AO9</f>
        <v>0.40586419753086417</v>
      </c>
      <c r="I9" s="33">
        <f t="shared" si="1"/>
        <v>5.7098765432098741E-2</v>
      </c>
      <c r="J9" s="33"/>
      <c r="K9" s="33">
        <f t="shared" ref="K9:K17" si="18">+H9</f>
        <v>0.40586419753086417</v>
      </c>
      <c r="L9" s="33">
        <f t="shared" ref="L9:L17" si="19">K9+AO9</f>
        <v>0.46296296296296291</v>
      </c>
      <c r="M9" s="33">
        <f t="shared" si="2"/>
        <v>5.7098765432098741E-2</v>
      </c>
      <c r="N9" s="33"/>
      <c r="O9" s="33">
        <f t="shared" ref="O9:O17" si="20">+L9</f>
        <v>0.46296296296296291</v>
      </c>
      <c r="P9" s="33">
        <f t="shared" ref="P9:P17" si="21">O9+AO9</f>
        <v>0.52006172839506171</v>
      </c>
      <c r="Q9" s="33">
        <f t="shared" si="3"/>
        <v>5.7098765432098797E-2</v>
      </c>
      <c r="R9" s="33"/>
      <c r="S9" s="33">
        <f t="shared" ref="S9:S17" si="22">+P9</f>
        <v>0.52006172839506171</v>
      </c>
      <c r="T9" s="33">
        <f t="shared" ref="T9:T17" si="23">S9+AO9</f>
        <v>0.5771604938271605</v>
      </c>
      <c r="U9" s="33">
        <f t="shared" si="4"/>
        <v>5.7098765432098797E-2</v>
      </c>
      <c r="V9" s="33"/>
      <c r="W9" s="33">
        <f t="shared" ref="W9:W17" si="24">+T9</f>
        <v>0.5771604938271605</v>
      </c>
      <c r="X9" s="33">
        <f t="shared" ref="X9:X17" si="25">W9+AO9</f>
        <v>0.6342592592592593</v>
      </c>
      <c r="Y9" s="33">
        <f t="shared" si="5"/>
        <v>5.7098765432098797E-2</v>
      </c>
      <c r="Z9" s="33"/>
      <c r="AA9" s="33">
        <f t="shared" ref="AA9:AA17" si="26">+X9</f>
        <v>0.6342592592592593</v>
      </c>
      <c r="AB9" s="33">
        <f t="shared" ref="AB9:AB17" si="27">AA9+AO9</f>
        <v>0.6913580246913581</v>
      </c>
      <c r="AC9" s="33">
        <f t="shared" si="8"/>
        <v>5.7098765432098797E-2</v>
      </c>
      <c r="AD9" s="33"/>
      <c r="AE9" s="33">
        <f t="shared" ref="AE9:AE17" si="28">+AB9</f>
        <v>0.6913580246913581</v>
      </c>
      <c r="AF9" s="33">
        <f t="shared" ref="AF9:AF17" si="29">AE9+AO9</f>
        <v>0.74845679012345689</v>
      </c>
      <c r="AG9" s="33">
        <f t="shared" si="11"/>
        <v>5.7098765432098797E-2</v>
      </c>
      <c r="AH9" s="33"/>
      <c r="AI9" s="33">
        <f t="shared" ref="AI9:AI17" si="30">+AF9</f>
        <v>0.74845679012345689</v>
      </c>
      <c r="AJ9" s="33" t="str">
        <f>IF('Por Horas'!B23='Por Horas'!C22,'Por Horas'!C23,'Por Horas'!C22)</f>
        <v>19:20</v>
      </c>
      <c r="AK9" s="33">
        <f t="shared" si="13"/>
        <v>5.7098765432098575E-2</v>
      </c>
      <c r="AL9" s="45"/>
      <c r="AM9" s="138">
        <f>AJ9-C9</f>
        <v>0.51388888888888884</v>
      </c>
      <c r="AN9" s="45"/>
      <c r="AO9" s="162">
        <f t="shared" si="14"/>
        <v>5.7098765432098762E-2</v>
      </c>
      <c r="AP9" s="45"/>
      <c r="AQ9" s="45"/>
    </row>
    <row r="10" spans="1:43" ht="12" customHeight="1" x14ac:dyDescent="0.25">
      <c r="A10" s="154" t="str">
        <f>+'Por Horas'!A24</f>
        <v/>
      </c>
      <c r="B10" s="33"/>
      <c r="C10" s="33" t="str">
        <f>+'Por Horas'!B24</f>
        <v>07:00</v>
      </c>
      <c r="D10" s="33">
        <f t="shared" si="15"/>
        <v>0.34876543209876543</v>
      </c>
      <c r="E10" s="33">
        <f t="shared" si="0"/>
        <v>5.7098765432098741E-2</v>
      </c>
      <c r="F10" s="33"/>
      <c r="G10" s="33">
        <f t="shared" si="16"/>
        <v>0.34876543209876543</v>
      </c>
      <c r="H10" s="33">
        <f t="shared" si="17"/>
        <v>0.40586419753086417</v>
      </c>
      <c r="I10" s="33">
        <f t="shared" si="1"/>
        <v>5.7098765432098741E-2</v>
      </c>
      <c r="J10" s="33"/>
      <c r="K10" s="33">
        <f t="shared" si="18"/>
        <v>0.40586419753086417</v>
      </c>
      <c r="L10" s="33">
        <f t="shared" si="19"/>
        <v>0.46296296296296291</v>
      </c>
      <c r="M10" s="33">
        <f t="shared" si="2"/>
        <v>5.7098765432098741E-2</v>
      </c>
      <c r="N10" s="33"/>
      <c r="O10" s="33">
        <f t="shared" si="20"/>
        <v>0.46296296296296291</v>
      </c>
      <c r="P10" s="33">
        <f t="shared" si="21"/>
        <v>0.52006172839506171</v>
      </c>
      <c r="Q10" s="33">
        <f t="shared" si="3"/>
        <v>5.7098765432098797E-2</v>
      </c>
      <c r="R10" s="33"/>
      <c r="S10" s="33">
        <f t="shared" si="22"/>
        <v>0.52006172839506171</v>
      </c>
      <c r="T10" s="33">
        <f t="shared" si="23"/>
        <v>0.5771604938271605</v>
      </c>
      <c r="U10" s="33">
        <f t="shared" si="4"/>
        <v>5.7098765432098797E-2</v>
      </c>
      <c r="V10" s="33"/>
      <c r="W10" s="33">
        <f t="shared" si="24"/>
        <v>0.5771604938271605</v>
      </c>
      <c r="X10" s="33">
        <f t="shared" si="25"/>
        <v>0.6342592592592593</v>
      </c>
      <c r="Y10" s="33">
        <f t="shared" si="5"/>
        <v>5.7098765432098797E-2</v>
      </c>
      <c r="Z10" s="33"/>
      <c r="AA10" s="33">
        <f t="shared" si="26"/>
        <v>0.6342592592592593</v>
      </c>
      <c r="AB10" s="33">
        <f t="shared" si="27"/>
        <v>0.6913580246913581</v>
      </c>
      <c r="AC10" s="33">
        <f t="shared" si="8"/>
        <v>5.7098765432098797E-2</v>
      </c>
      <c r="AD10" s="33"/>
      <c r="AE10" s="33">
        <f t="shared" si="28"/>
        <v>0.6913580246913581</v>
      </c>
      <c r="AF10" s="33">
        <f t="shared" si="29"/>
        <v>0.74845679012345689</v>
      </c>
      <c r="AG10" s="33">
        <f t="shared" si="11"/>
        <v>5.7098765432098797E-2</v>
      </c>
      <c r="AH10" s="33"/>
      <c r="AI10" s="33">
        <f t="shared" si="30"/>
        <v>0.74845679012345689</v>
      </c>
      <c r="AJ10" s="33" t="str">
        <f>IF('Por Horas'!B25='Por Horas'!C24,'Por Horas'!C25,'Por Horas'!C24)</f>
        <v>19:20</v>
      </c>
      <c r="AK10" s="33">
        <f t="shared" si="13"/>
        <v>5.7098765432098575E-2</v>
      </c>
      <c r="AL10" s="45"/>
      <c r="AM10" s="138">
        <f t="shared" ref="AM10:AM17" si="31">AJ10-C10</f>
        <v>0.51388888888888884</v>
      </c>
      <c r="AN10" s="45"/>
      <c r="AO10" s="162">
        <f t="shared" si="14"/>
        <v>5.7098765432098762E-2</v>
      </c>
      <c r="AP10" s="45"/>
      <c r="AQ10" s="45"/>
    </row>
    <row r="11" spans="1:43" ht="12" customHeight="1" x14ac:dyDescent="0.25">
      <c r="A11" s="154" t="str">
        <f>+'Por Horas'!A26</f>
        <v/>
      </c>
      <c r="B11" s="33"/>
      <c r="C11" s="33" t="str">
        <f>+'Por Horas'!B26</f>
        <v>07:00</v>
      </c>
      <c r="D11" s="33">
        <f t="shared" si="15"/>
        <v>0.34876543209876543</v>
      </c>
      <c r="E11" s="33">
        <f t="shared" si="0"/>
        <v>5.7098765432098741E-2</v>
      </c>
      <c r="F11" s="33"/>
      <c r="G11" s="33">
        <f t="shared" si="16"/>
        <v>0.34876543209876543</v>
      </c>
      <c r="H11" s="33">
        <f t="shared" si="17"/>
        <v>0.40586419753086417</v>
      </c>
      <c r="I11" s="33">
        <f t="shared" si="1"/>
        <v>5.7098765432098741E-2</v>
      </c>
      <c r="J11" s="33"/>
      <c r="K11" s="33">
        <f t="shared" si="18"/>
        <v>0.40586419753086417</v>
      </c>
      <c r="L11" s="33">
        <f t="shared" si="19"/>
        <v>0.46296296296296291</v>
      </c>
      <c r="M11" s="33">
        <f t="shared" si="2"/>
        <v>5.7098765432098741E-2</v>
      </c>
      <c r="N11" s="33"/>
      <c r="O11" s="33">
        <f t="shared" si="20"/>
        <v>0.46296296296296291</v>
      </c>
      <c r="P11" s="33">
        <f t="shared" si="21"/>
        <v>0.52006172839506171</v>
      </c>
      <c r="Q11" s="33">
        <f t="shared" si="3"/>
        <v>5.7098765432098797E-2</v>
      </c>
      <c r="R11" s="33"/>
      <c r="S11" s="33">
        <f t="shared" si="22"/>
        <v>0.52006172839506171</v>
      </c>
      <c r="T11" s="33">
        <f t="shared" si="23"/>
        <v>0.5771604938271605</v>
      </c>
      <c r="U11" s="33">
        <f t="shared" si="4"/>
        <v>5.7098765432098797E-2</v>
      </c>
      <c r="V11" s="33"/>
      <c r="W11" s="33">
        <f t="shared" si="24"/>
        <v>0.5771604938271605</v>
      </c>
      <c r="X11" s="33">
        <f t="shared" si="25"/>
        <v>0.6342592592592593</v>
      </c>
      <c r="Y11" s="33">
        <f t="shared" si="5"/>
        <v>5.7098765432098797E-2</v>
      </c>
      <c r="Z11" s="33"/>
      <c r="AA11" s="33">
        <f t="shared" si="26"/>
        <v>0.6342592592592593</v>
      </c>
      <c r="AB11" s="33">
        <f t="shared" si="27"/>
        <v>0.6913580246913581</v>
      </c>
      <c r="AC11" s="33">
        <f t="shared" si="8"/>
        <v>5.7098765432098797E-2</v>
      </c>
      <c r="AD11" s="33"/>
      <c r="AE11" s="33">
        <f t="shared" si="28"/>
        <v>0.6913580246913581</v>
      </c>
      <c r="AF11" s="33">
        <f t="shared" si="29"/>
        <v>0.74845679012345689</v>
      </c>
      <c r="AG11" s="33">
        <f t="shared" si="11"/>
        <v>5.7098765432098797E-2</v>
      </c>
      <c r="AH11" s="33"/>
      <c r="AI11" s="33">
        <f t="shared" si="30"/>
        <v>0.74845679012345689</v>
      </c>
      <c r="AJ11" s="33" t="str">
        <f>IF('Por Horas'!B27='Por Horas'!C26,'Por Horas'!C27,'Por Horas'!C26)</f>
        <v>19:20</v>
      </c>
      <c r="AK11" s="33">
        <f t="shared" si="13"/>
        <v>5.7098765432098575E-2</v>
      </c>
      <c r="AL11" s="45"/>
      <c r="AM11" s="138">
        <f t="shared" si="31"/>
        <v>0.51388888888888884</v>
      </c>
      <c r="AN11" s="45"/>
      <c r="AO11" s="162">
        <f t="shared" si="14"/>
        <v>5.7098765432098762E-2</v>
      </c>
      <c r="AP11" s="45"/>
      <c r="AQ11" s="45"/>
    </row>
    <row r="12" spans="1:43" ht="12.75" customHeight="1" x14ac:dyDescent="0.25">
      <c r="A12" s="154" t="str">
        <f>+'Por Horas'!A28</f>
        <v/>
      </c>
      <c r="B12" s="33"/>
      <c r="C12" s="33" t="str">
        <f>+'Por Horas'!B28</f>
        <v>07:00</v>
      </c>
      <c r="D12" s="33">
        <f t="shared" si="15"/>
        <v>0.34876543209876543</v>
      </c>
      <c r="E12" s="33">
        <f t="shared" si="0"/>
        <v>5.7098765432098741E-2</v>
      </c>
      <c r="F12" s="33"/>
      <c r="G12" s="33">
        <f t="shared" si="16"/>
        <v>0.34876543209876543</v>
      </c>
      <c r="H12" s="33">
        <f t="shared" si="17"/>
        <v>0.40586419753086417</v>
      </c>
      <c r="I12" s="33">
        <f t="shared" si="1"/>
        <v>5.7098765432098741E-2</v>
      </c>
      <c r="J12" s="33"/>
      <c r="K12" s="33">
        <f t="shared" si="18"/>
        <v>0.40586419753086417</v>
      </c>
      <c r="L12" s="33">
        <f t="shared" si="19"/>
        <v>0.46296296296296291</v>
      </c>
      <c r="M12" s="33">
        <f t="shared" si="2"/>
        <v>5.7098765432098741E-2</v>
      </c>
      <c r="N12" s="33"/>
      <c r="O12" s="33">
        <f t="shared" si="20"/>
        <v>0.46296296296296291</v>
      </c>
      <c r="P12" s="33">
        <f t="shared" si="21"/>
        <v>0.52006172839506171</v>
      </c>
      <c r="Q12" s="33">
        <f t="shared" si="3"/>
        <v>5.7098765432098797E-2</v>
      </c>
      <c r="R12" s="33"/>
      <c r="S12" s="33">
        <f t="shared" si="22"/>
        <v>0.52006172839506171</v>
      </c>
      <c r="T12" s="33">
        <f t="shared" si="23"/>
        <v>0.5771604938271605</v>
      </c>
      <c r="U12" s="33">
        <f t="shared" si="4"/>
        <v>5.7098765432098797E-2</v>
      </c>
      <c r="V12" s="33"/>
      <c r="W12" s="33">
        <f t="shared" si="24"/>
        <v>0.5771604938271605</v>
      </c>
      <c r="X12" s="33">
        <f t="shared" si="25"/>
        <v>0.6342592592592593</v>
      </c>
      <c r="Y12" s="33">
        <f t="shared" si="5"/>
        <v>5.7098765432098797E-2</v>
      </c>
      <c r="Z12" s="33"/>
      <c r="AA12" s="33">
        <f t="shared" si="26"/>
        <v>0.6342592592592593</v>
      </c>
      <c r="AB12" s="33">
        <f t="shared" si="27"/>
        <v>0.6913580246913581</v>
      </c>
      <c r="AC12" s="33">
        <f t="shared" si="8"/>
        <v>5.7098765432098797E-2</v>
      </c>
      <c r="AD12" s="33"/>
      <c r="AE12" s="33">
        <f t="shared" si="28"/>
        <v>0.6913580246913581</v>
      </c>
      <c r="AF12" s="33">
        <f t="shared" si="29"/>
        <v>0.74845679012345689</v>
      </c>
      <c r="AG12" s="33">
        <f t="shared" si="11"/>
        <v>5.7098765432098797E-2</v>
      </c>
      <c r="AH12" s="33"/>
      <c r="AI12" s="33">
        <f t="shared" si="30"/>
        <v>0.74845679012345689</v>
      </c>
      <c r="AJ12" s="33" t="str">
        <f>IF('Por Horas'!B29='Por Horas'!C28,'Por Horas'!C29,'Por Horas'!C28)</f>
        <v>19:20</v>
      </c>
      <c r="AK12" s="33">
        <f t="shared" si="13"/>
        <v>5.7098765432098575E-2</v>
      </c>
      <c r="AL12" s="45"/>
      <c r="AM12" s="138">
        <f t="shared" si="31"/>
        <v>0.51388888888888884</v>
      </c>
      <c r="AN12" s="45"/>
      <c r="AO12" s="162">
        <f t="shared" si="14"/>
        <v>5.7098765432098762E-2</v>
      </c>
      <c r="AP12" s="45"/>
      <c r="AQ12" s="45"/>
    </row>
    <row r="13" spans="1:43" ht="12" customHeight="1" x14ac:dyDescent="0.25">
      <c r="A13" s="154" t="str">
        <f>+'Por Horas'!A30</f>
        <v/>
      </c>
      <c r="B13" s="33"/>
      <c r="C13" s="33" t="str">
        <f>+'Por Horas'!B30</f>
        <v>07:00</v>
      </c>
      <c r="D13" s="33">
        <f t="shared" si="15"/>
        <v>0.34876543209876543</v>
      </c>
      <c r="E13" s="33">
        <f t="shared" si="0"/>
        <v>5.7098765432098741E-2</v>
      </c>
      <c r="F13" s="33"/>
      <c r="G13" s="33">
        <f t="shared" si="16"/>
        <v>0.34876543209876543</v>
      </c>
      <c r="H13" s="33">
        <f t="shared" si="17"/>
        <v>0.40586419753086417</v>
      </c>
      <c r="I13" s="33">
        <f t="shared" si="1"/>
        <v>5.7098765432098741E-2</v>
      </c>
      <c r="J13" s="33"/>
      <c r="K13" s="33">
        <f t="shared" si="18"/>
        <v>0.40586419753086417</v>
      </c>
      <c r="L13" s="33">
        <f t="shared" si="19"/>
        <v>0.46296296296296291</v>
      </c>
      <c r="M13" s="33">
        <f t="shared" si="2"/>
        <v>5.7098765432098741E-2</v>
      </c>
      <c r="N13" s="33"/>
      <c r="O13" s="33">
        <f t="shared" si="20"/>
        <v>0.46296296296296291</v>
      </c>
      <c r="P13" s="33">
        <f t="shared" si="21"/>
        <v>0.52006172839506171</v>
      </c>
      <c r="Q13" s="33">
        <f t="shared" si="3"/>
        <v>5.7098765432098797E-2</v>
      </c>
      <c r="R13" s="33"/>
      <c r="S13" s="33">
        <f t="shared" si="22"/>
        <v>0.52006172839506171</v>
      </c>
      <c r="T13" s="33">
        <f t="shared" si="23"/>
        <v>0.5771604938271605</v>
      </c>
      <c r="U13" s="33">
        <f t="shared" si="4"/>
        <v>5.7098765432098797E-2</v>
      </c>
      <c r="V13" s="33"/>
      <c r="W13" s="33">
        <f t="shared" si="24"/>
        <v>0.5771604938271605</v>
      </c>
      <c r="X13" s="33">
        <f t="shared" si="25"/>
        <v>0.6342592592592593</v>
      </c>
      <c r="Y13" s="33">
        <f t="shared" si="5"/>
        <v>5.7098765432098797E-2</v>
      </c>
      <c r="Z13" s="33"/>
      <c r="AA13" s="33">
        <f t="shared" si="26"/>
        <v>0.6342592592592593</v>
      </c>
      <c r="AB13" s="33">
        <f t="shared" si="27"/>
        <v>0.6913580246913581</v>
      </c>
      <c r="AC13" s="33">
        <f t="shared" si="8"/>
        <v>5.7098765432098797E-2</v>
      </c>
      <c r="AD13" s="33"/>
      <c r="AE13" s="33">
        <f t="shared" si="28"/>
        <v>0.6913580246913581</v>
      </c>
      <c r="AF13" s="33">
        <f t="shared" si="29"/>
        <v>0.74845679012345689</v>
      </c>
      <c r="AG13" s="33">
        <f t="shared" si="11"/>
        <v>5.7098765432098797E-2</v>
      </c>
      <c r="AH13" s="33"/>
      <c r="AI13" s="33">
        <f t="shared" si="30"/>
        <v>0.74845679012345689</v>
      </c>
      <c r="AJ13" s="33" t="str">
        <f>IF('Por Horas'!B31='Por Horas'!C30,'Por Horas'!C31,'Por Horas'!C30)</f>
        <v>19:20</v>
      </c>
      <c r="AK13" s="33">
        <f t="shared" si="13"/>
        <v>5.7098765432098575E-2</v>
      </c>
      <c r="AL13" s="45"/>
      <c r="AM13" s="138">
        <f t="shared" si="31"/>
        <v>0.51388888888888884</v>
      </c>
      <c r="AN13" s="45"/>
      <c r="AO13" s="162">
        <f t="shared" si="14"/>
        <v>5.7098765432098762E-2</v>
      </c>
      <c r="AP13" s="45"/>
      <c r="AQ13" s="45"/>
    </row>
    <row r="14" spans="1:43" ht="12" customHeight="1" x14ac:dyDescent="0.25">
      <c r="A14" s="154" t="str">
        <f>+'Por Horas'!A32</f>
        <v/>
      </c>
      <c r="B14" s="33"/>
      <c r="C14" s="33" t="str">
        <f>+'Por Horas'!B32</f>
        <v>07:00</v>
      </c>
      <c r="D14" s="33">
        <f t="shared" si="15"/>
        <v>0.34876543209876543</v>
      </c>
      <c r="E14" s="33">
        <f t="shared" si="0"/>
        <v>5.7098765432098741E-2</v>
      </c>
      <c r="F14" s="33"/>
      <c r="G14" s="33">
        <f t="shared" si="16"/>
        <v>0.34876543209876543</v>
      </c>
      <c r="H14" s="33">
        <f t="shared" si="17"/>
        <v>0.40586419753086417</v>
      </c>
      <c r="I14" s="33">
        <f t="shared" si="1"/>
        <v>5.7098765432098741E-2</v>
      </c>
      <c r="J14" s="33"/>
      <c r="K14" s="33">
        <f t="shared" si="18"/>
        <v>0.40586419753086417</v>
      </c>
      <c r="L14" s="33">
        <f t="shared" si="19"/>
        <v>0.46296296296296291</v>
      </c>
      <c r="M14" s="33">
        <f t="shared" si="2"/>
        <v>5.7098765432098741E-2</v>
      </c>
      <c r="N14" s="33"/>
      <c r="O14" s="33">
        <f t="shared" si="20"/>
        <v>0.46296296296296291</v>
      </c>
      <c r="P14" s="33">
        <f t="shared" si="21"/>
        <v>0.52006172839506171</v>
      </c>
      <c r="Q14" s="33">
        <f t="shared" si="3"/>
        <v>5.7098765432098797E-2</v>
      </c>
      <c r="R14" s="33"/>
      <c r="S14" s="33">
        <f t="shared" si="22"/>
        <v>0.52006172839506171</v>
      </c>
      <c r="T14" s="33">
        <f t="shared" si="23"/>
        <v>0.5771604938271605</v>
      </c>
      <c r="U14" s="33">
        <f t="shared" si="4"/>
        <v>5.7098765432098797E-2</v>
      </c>
      <c r="V14" s="33"/>
      <c r="W14" s="33">
        <f t="shared" si="24"/>
        <v>0.5771604938271605</v>
      </c>
      <c r="X14" s="33">
        <f t="shared" si="25"/>
        <v>0.6342592592592593</v>
      </c>
      <c r="Y14" s="33">
        <f t="shared" si="5"/>
        <v>5.7098765432098797E-2</v>
      </c>
      <c r="Z14" s="33"/>
      <c r="AA14" s="33">
        <f t="shared" si="26"/>
        <v>0.6342592592592593</v>
      </c>
      <c r="AB14" s="33">
        <f t="shared" si="27"/>
        <v>0.6913580246913581</v>
      </c>
      <c r="AC14" s="33">
        <f t="shared" si="8"/>
        <v>5.7098765432098797E-2</v>
      </c>
      <c r="AD14" s="33"/>
      <c r="AE14" s="33">
        <f t="shared" si="28"/>
        <v>0.6913580246913581</v>
      </c>
      <c r="AF14" s="33">
        <f t="shared" si="29"/>
        <v>0.74845679012345689</v>
      </c>
      <c r="AG14" s="33">
        <f t="shared" si="11"/>
        <v>5.7098765432098797E-2</v>
      </c>
      <c r="AH14" s="33"/>
      <c r="AI14" s="33">
        <f t="shared" si="30"/>
        <v>0.74845679012345689</v>
      </c>
      <c r="AJ14" s="33" t="str">
        <f>IF('Por Horas'!B33='Por Horas'!C32,'Por Horas'!C33,'Por Horas'!C32)</f>
        <v>19:20</v>
      </c>
      <c r="AK14" s="33">
        <f t="shared" si="13"/>
        <v>5.7098765432098575E-2</v>
      </c>
      <c r="AL14" s="45"/>
      <c r="AM14" s="138">
        <f t="shared" si="31"/>
        <v>0.51388888888888884</v>
      </c>
      <c r="AN14" s="45"/>
      <c r="AO14" s="162">
        <f t="shared" si="14"/>
        <v>5.7098765432098762E-2</v>
      </c>
      <c r="AP14" s="45"/>
      <c r="AQ14" s="45"/>
    </row>
    <row r="15" spans="1:43" ht="12" customHeight="1" x14ac:dyDescent="0.25">
      <c r="A15" s="154" t="str">
        <f>+'Por Horas'!A34</f>
        <v/>
      </c>
      <c r="B15" s="33"/>
      <c r="C15" s="33" t="str">
        <f>+'Por Horas'!B34</f>
        <v>07:00</v>
      </c>
      <c r="D15" s="33">
        <f t="shared" si="15"/>
        <v>0.34876543209876543</v>
      </c>
      <c r="E15" s="33">
        <f t="shared" si="0"/>
        <v>5.7098765432098741E-2</v>
      </c>
      <c r="F15" s="33"/>
      <c r="G15" s="33">
        <f t="shared" si="16"/>
        <v>0.34876543209876543</v>
      </c>
      <c r="H15" s="33">
        <f t="shared" si="17"/>
        <v>0.40586419753086417</v>
      </c>
      <c r="I15" s="33">
        <f t="shared" si="1"/>
        <v>5.7098765432098741E-2</v>
      </c>
      <c r="J15" s="33"/>
      <c r="K15" s="33">
        <f t="shared" si="18"/>
        <v>0.40586419753086417</v>
      </c>
      <c r="L15" s="33">
        <f t="shared" si="19"/>
        <v>0.46296296296296291</v>
      </c>
      <c r="M15" s="33">
        <f t="shared" si="2"/>
        <v>5.7098765432098741E-2</v>
      </c>
      <c r="N15" s="33"/>
      <c r="O15" s="33">
        <f t="shared" si="20"/>
        <v>0.46296296296296291</v>
      </c>
      <c r="P15" s="33">
        <f t="shared" si="21"/>
        <v>0.52006172839506171</v>
      </c>
      <c r="Q15" s="33">
        <f t="shared" si="3"/>
        <v>5.7098765432098797E-2</v>
      </c>
      <c r="R15" s="33"/>
      <c r="S15" s="33">
        <f t="shared" si="22"/>
        <v>0.52006172839506171</v>
      </c>
      <c r="T15" s="33">
        <f t="shared" si="23"/>
        <v>0.5771604938271605</v>
      </c>
      <c r="U15" s="33">
        <f t="shared" si="4"/>
        <v>5.7098765432098797E-2</v>
      </c>
      <c r="V15" s="33"/>
      <c r="W15" s="33">
        <f t="shared" si="24"/>
        <v>0.5771604938271605</v>
      </c>
      <c r="X15" s="33">
        <f t="shared" si="25"/>
        <v>0.6342592592592593</v>
      </c>
      <c r="Y15" s="33">
        <f t="shared" si="5"/>
        <v>5.7098765432098797E-2</v>
      </c>
      <c r="Z15" s="33"/>
      <c r="AA15" s="33">
        <f t="shared" si="26"/>
        <v>0.6342592592592593</v>
      </c>
      <c r="AB15" s="33">
        <f t="shared" si="27"/>
        <v>0.6913580246913581</v>
      </c>
      <c r="AC15" s="33">
        <f t="shared" si="8"/>
        <v>5.7098765432098797E-2</v>
      </c>
      <c r="AD15" s="33"/>
      <c r="AE15" s="33">
        <f t="shared" si="28"/>
        <v>0.6913580246913581</v>
      </c>
      <c r="AF15" s="33">
        <f t="shared" si="29"/>
        <v>0.74845679012345689</v>
      </c>
      <c r="AG15" s="33">
        <f t="shared" si="11"/>
        <v>5.7098765432098797E-2</v>
      </c>
      <c r="AH15" s="33"/>
      <c r="AI15" s="33">
        <f t="shared" si="30"/>
        <v>0.74845679012345689</v>
      </c>
      <c r="AJ15" s="33" t="str">
        <f>IF('Por Horas'!B35='Por Horas'!C34,'Por Horas'!C35,'Por Horas'!C34)</f>
        <v>19:20</v>
      </c>
      <c r="AK15" s="33">
        <f t="shared" si="13"/>
        <v>5.7098765432098575E-2</v>
      </c>
      <c r="AL15" s="45"/>
      <c r="AM15" s="138">
        <f t="shared" si="31"/>
        <v>0.51388888888888884</v>
      </c>
      <c r="AN15" s="45"/>
      <c r="AO15" s="162">
        <f t="shared" si="14"/>
        <v>5.7098765432098762E-2</v>
      </c>
      <c r="AP15" s="144"/>
      <c r="AQ15" s="45"/>
    </row>
    <row r="16" spans="1:43" ht="12" customHeight="1" x14ac:dyDescent="0.25">
      <c r="A16" s="154" t="str">
        <f>+'Por Horas'!A36</f>
        <v/>
      </c>
      <c r="B16" s="33"/>
      <c r="C16" s="33" t="str">
        <f>+'Por Horas'!B36</f>
        <v>07:00</v>
      </c>
      <c r="D16" s="33">
        <f t="shared" si="15"/>
        <v>0.34876543209876543</v>
      </c>
      <c r="E16" s="33">
        <f t="shared" si="0"/>
        <v>5.7098765432098741E-2</v>
      </c>
      <c r="F16" s="33"/>
      <c r="G16" s="33">
        <f t="shared" si="16"/>
        <v>0.34876543209876543</v>
      </c>
      <c r="H16" s="33">
        <f t="shared" si="17"/>
        <v>0.40586419753086417</v>
      </c>
      <c r="I16" s="33">
        <f t="shared" si="1"/>
        <v>5.7098765432098741E-2</v>
      </c>
      <c r="J16" s="33"/>
      <c r="K16" s="33">
        <f t="shared" si="18"/>
        <v>0.40586419753086417</v>
      </c>
      <c r="L16" s="33">
        <f t="shared" si="19"/>
        <v>0.46296296296296291</v>
      </c>
      <c r="M16" s="33">
        <f t="shared" si="2"/>
        <v>5.7098765432098741E-2</v>
      </c>
      <c r="N16" s="33"/>
      <c r="O16" s="33">
        <f t="shared" si="20"/>
        <v>0.46296296296296291</v>
      </c>
      <c r="P16" s="33">
        <f t="shared" si="21"/>
        <v>0.52006172839506171</v>
      </c>
      <c r="Q16" s="33">
        <f t="shared" si="3"/>
        <v>5.7098765432098797E-2</v>
      </c>
      <c r="R16" s="33"/>
      <c r="S16" s="33">
        <f t="shared" si="22"/>
        <v>0.52006172839506171</v>
      </c>
      <c r="T16" s="33">
        <f t="shared" si="23"/>
        <v>0.5771604938271605</v>
      </c>
      <c r="U16" s="33">
        <f t="shared" si="4"/>
        <v>5.7098765432098797E-2</v>
      </c>
      <c r="V16" s="33"/>
      <c r="W16" s="33">
        <f t="shared" si="24"/>
        <v>0.5771604938271605</v>
      </c>
      <c r="X16" s="33">
        <f t="shared" si="25"/>
        <v>0.6342592592592593</v>
      </c>
      <c r="Y16" s="33">
        <f t="shared" si="5"/>
        <v>5.7098765432098797E-2</v>
      </c>
      <c r="Z16" s="33"/>
      <c r="AA16" s="33">
        <f t="shared" si="26"/>
        <v>0.6342592592592593</v>
      </c>
      <c r="AB16" s="33">
        <f t="shared" si="27"/>
        <v>0.6913580246913581</v>
      </c>
      <c r="AC16" s="33">
        <f t="shared" si="8"/>
        <v>5.7098765432098797E-2</v>
      </c>
      <c r="AD16" s="33"/>
      <c r="AE16" s="33">
        <f t="shared" si="28"/>
        <v>0.6913580246913581</v>
      </c>
      <c r="AF16" s="33">
        <f t="shared" si="29"/>
        <v>0.74845679012345689</v>
      </c>
      <c r="AG16" s="33">
        <f t="shared" si="11"/>
        <v>5.7098765432098797E-2</v>
      </c>
      <c r="AH16" s="33"/>
      <c r="AI16" s="33">
        <f t="shared" si="30"/>
        <v>0.74845679012345689</v>
      </c>
      <c r="AJ16" s="33" t="str">
        <f>IF('Por Horas'!B37='Por Horas'!C36,'Por Horas'!C37,'Por Horas'!C36)</f>
        <v>19:20</v>
      </c>
      <c r="AK16" s="33">
        <f t="shared" si="13"/>
        <v>5.7098765432098575E-2</v>
      </c>
      <c r="AL16" s="45"/>
      <c r="AM16" s="138">
        <f t="shared" si="31"/>
        <v>0.51388888888888884</v>
      </c>
      <c r="AN16" s="45"/>
      <c r="AO16" s="162">
        <f t="shared" si="14"/>
        <v>5.7098765432098762E-2</v>
      </c>
      <c r="AP16" s="144"/>
      <c r="AQ16" s="45"/>
    </row>
    <row r="17" spans="1:43" ht="12" customHeight="1" x14ac:dyDescent="0.25">
      <c r="A17" s="154" t="str">
        <f>+'Por Horas'!A38</f>
        <v/>
      </c>
      <c r="B17" s="33"/>
      <c r="C17" s="33" t="str">
        <f>+'Por Horas'!B38</f>
        <v>07:00</v>
      </c>
      <c r="D17" s="33">
        <f t="shared" si="15"/>
        <v>0.34876543209876543</v>
      </c>
      <c r="E17" s="33">
        <f t="shared" si="0"/>
        <v>5.7098765432098741E-2</v>
      </c>
      <c r="F17" s="33"/>
      <c r="G17" s="33">
        <f t="shared" si="16"/>
        <v>0.34876543209876543</v>
      </c>
      <c r="H17" s="33">
        <f t="shared" si="17"/>
        <v>0.40586419753086417</v>
      </c>
      <c r="I17" s="33">
        <f t="shared" si="1"/>
        <v>5.7098765432098741E-2</v>
      </c>
      <c r="J17" s="33"/>
      <c r="K17" s="33">
        <f t="shared" si="18"/>
        <v>0.40586419753086417</v>
      </c>
      <c r="L17" s="33">
        <f t="shared" si="19"/>
        <v>0.46296296296296291</v>
      </c>
      <c r="M17" s="33">
        <f t="shared" si="2"/>
        <v>5.7098765432098741E-2</v>
      </c>
      <c r="N17" s="33"/>
      <c r="O17" s="33">
        <f t="shared" si="20"/>
        <v>0.46296296296296291</v>
      </c>
      <c r="P17" s="33">
        <f t="shared" si="21"/>
        <v>0.52006172839506171</v>
      </c>
      <c r="Q17" s="33">
        <f t="shared" si="3"/>
        <v>5.7098765432098797E-2</v>
      </c>
      <c r="R17" s="33"/>
      <c r="S17" s="33">
        <f t="shared" si="22"/>
        <v>0.52006172839506171</v>
      </c>
      <c r="T17" s="33">
        <f t="shared" si="23"/>
        <v>0.5771604938271605</v>
      </c>
      <c r="U17" s="33">
        <f t="shared" si="4"/>
        <v>5.7098765432098797E-2</v>
      </c>
      <c r="V17" s="33"/>
      <c r="W17" s="33">
        <f t="shared" si="24"/>
        <v>0.5771604938271605</v>
      </c>
      <c r="X17" s="33">
        <f t="shared" si="25"/>
        <v>0.6342592592592593</v>
      </c>
      <c r="Y17" s="33">
        <f t="shared" si="5"/>
        <v>5.7098765432098797E-2</v>
      </c>
      <c r="Z17" s="33"/>
      <c r="AA17" s="33">
        <f t="shared" si="26"/>
        <v>0.6342592592592593</v>
      </c>
      <c r="AB17" s="33">
        <f t="shared" si="27"/>
        <v>0.6913580246913581</v>
      </c>
      <c r="AC17" s="33">
        <f t="shared" si="8"/>
        <v>5.7098765432098797E-2</v>
      </c>
      <c r="AD17" s="33"/>
      <c r="AE17" s="33">
        <f t="shared" si="28"/>
        <v>0.6913580246913581</v>
      </c>
      <c r="AF17" s="33">
        <f t="shared" si="29"/>
        <v>0.74845679012345689</v>
      </c>
      <c r="AG17" s="33">
        <f t="shared" si="11"/>
        <v>5.7098765432098797E-2</v>
      </c>
      <c r="AH17" s="33"/>
      <c r="AI17" s="33">
        <f t="shared" si="30"/>
        <v>0.74845679012345689</v>
      </c>
      <c r="AJ17" s="33" t="str">
        <f>IF('Por Horas'!B39='Por Horas'!C38,'Por Horas'!C39,'Por Horas'!C38)</f>
        <v>19:20</v>
      </c>
      <c r="AK17" s="33">
        <f t="shared" si="13"/>
        <v>5.7098765432098575E-2</v>
      </c>
      <c r="AL17" s="45"/>
      <c r="AM17" s="138">
        <f t="shared" si="31"/>
        <v>0.51388888888888884</v>
      </c>
      <c r="AN17" s="45"/>
      <c r="AO17" s="162">
        <f t="shared" si="14"/>
        <v>5.7098765432098762E-2</v>
      </c>
      <c r="AP17" s="146"/>
      <c r="AQ17" s="45"/>
    </row>
    <row r="18" spans="1:43" ht="12" customHeight="1" x14ac:dyDescent="0.25">
      <c r="A18" s="154"/>
      <c r="B18" s="33"/>
      <c r="C18" s="33"/>
      <c r="D18" s="138"/>
      <c r="E18" s="45"/>
      <c r="F18" s="33"/>
      <c r="G18" s="33"/>
      <c r="H18" s="138"/>
      <c r="I18" s="45"/>
      <c r="J18" s="33"/>
      <c r="K18" s="33"/>
      <c r="L18" s="138"/>
      <c r="M18" s="45"/>
      <c r="N18" s="45"/>
      <c r="O18" s="45"/>
      <c r="P18" s="138"/>
      <c r="Q18" s="45"/>
      <c r="R18" s="33"/>
      <c r="S18" s="33"/>
      <c r="T18" s="138"/>
      <c r="U18" s="45"/>
      <c r="V18" s="45"/>
      <c r="W18" s="45"/>
      <c r="X18" s="138"/>
      <c r="Y18" s="45"/>
      <c r="Z18" s="33"/>
      <c r="AA18" s="33"/>
      <c r="AB18" s="138"/>
      <c r="AC18" s="45"/>
      <c r="AD18" s="33"/>
      <c r="AE18" s="33"/>
      <c r="AF18" s="138"/>
      <c r="AG18" s="45"/>
      <c r="AH18" s="45"/>
      <c r="AI18" s="45"/>
      <c r="AJ18" s="138"/>
      <c r="AK18" s="45"/>
      <c r="AL18" s="45"/>
      <c r="AM18" s="138"/>
      <c r="AN18" s="45"/>
      <c r="AO18" s="162"/>
      <c r="AP18" s="146"/>
      <c r="AQ18" s="45"/>
    </row>
    <row r="19" spans="1:43" ht="12" customHeight="1" x14ac:dyDescent="0.25">
      <c r="A19" s="154" t="s">
        <v>78</v>
      </c>
      <c r="B19" s="33"/>
      <c r="C19" s="33"/>
      <c r="D19" s="138"/>
      <c r="E19" s="33">
        <f>SUM(E6:E17)</f>
        <v>0.68518518518518468</v>
      </c>
      <c r="F19" s="33"/>
      <c r="G19" s="33"/>
      <c r="H19" s="138"/>
      <c r="I19" s="33">
        <f>SUM(I6:I17)</f>
        <v>0.68518518518518468</v>
      </c>
      <c r="J19" s="33"/>
      <c r="K19" s="33"/>
      <c r="L19" s="138"/>
      <c r="M19" s="33">
        <f>SUM(M6:M17)</f>
        <v>0.68518518518518468</v>
      </c>
      <c r="N19" s="45"/>
      <c r="O19" s="45"/>
      <c r="P19" s="138"/>
      <c r="Q19" s="33">
        <f>SUM(Q6:Q17)</f>
        <v>0.68518518518518556</v>
      </c>
      <c r="R19" s="33"/>
      <c r="S19" s="33"/>
      <c r="T19" s="138"/>
      <c r="U19" s="33">
        <f>SUM(U6:U17)</f>
        <v>0.68518518518518556</v>
      </c>
      <c r="V19" s="45"/>
      <c r="W19" s="45"/>
      <c r="X19" s="138"/>
      <c r="Y19" s="33">
        <f>SUM(Y6:Y17)</f>
        <v>0.68518518518518556</v>
      </c>
      <c r="Z19" s="45"/>
      <c r="AA19" s="45"/>
      <c r="AB19" s="138"/>
      <c r="AC19" s="33">
        <f>SUM(AC6:AC17)</f>
        <v>0.68518518518518556</v>
      </c>
      <c r="AD19" s="33"/>
      <c r="AE19" s="33"/>
      <c r="AF19" s="138"/>
      <c r="AG19" s="33">
        <f>SUM(AG6:AG17)</f>
        <v>0.68518518518518556</v>
      </c>
      <c r="AH19" s="45"/>
      <c r="AI19" s="45"/>
      <c r="AJ19" s="138"/>
      <c r="AK19" s="33">
        <f>SUM(AK6:AK17)</f>
        <v>0.6851851851851829</v>
      </c>
      <c r="AL19" s="45"/>
      <c r="AM19" s="138">
        <f>SUM(AM6:AM17)</f>
        <v>6.1666666666666679</v>
      </c>
      <c r="AN19" s="45"/>
      <c r="AO19" s="163">
        <f>+'Por Horas'!C55</f>
        <v>2589846.6230000001</v>
      </c>
      <c r="AP19" s="144"/>
      <c r="AQ19" s="45"/>
    </row>
    <row r="20" spans="1:43" ht="12" customHeight="1" x14ac:dyDescent="0.25">
      <c r="A20" s="139" t="s">
        <v>79</v>
      </c>
      <c r="B20" s="33"/>
      <c r="C20" s="33"/>
      <c r="D20" s="194">
        <f>+AO20</f>
        <v>287760.73588888888</v>
      </c>
      <c r="E20" s="194"/>
      <c r="F20" s="45"/>
      <c r="G20" s="45"/>
      <c r="H20" s="194">
        <f>+AO20</f>
        <v>287760.73588888888</v>
      </c>
      <c r="I20" s="194"/>
      <c r="J20" s="45"/>
      <c r="K20" s="45"/>
      <c r="L20" s="194">
        <f>+AO20</f>
        <v>287760.73588888888</v>
      </c>
      <c r="M20" s="194"/>
      <c r="N20" s="45"/>
      <c r="O20" s="45"/>
      <c r="P20" s="194">
        <f>+AO20</f>
        <v>287760.73588888888</v>
      </c>
      <c r="Q20" s="194"/>
      <c r="R20" s="33"/>
      <c r="S20" s="33"/>
      <c r="T20" s="194">
        <f>+AO20</f>
        <v>287760.73588888888</v>
      </c>
      <c r="U20" s="194"/>
      <c r="V20" s="45"/>
      <c r="W20" s="45"/>
      <c r="X20" s="194">
        <f>+AO20</f>
        <v>287760.73588888888</v>
      </c>
      <c r="Y20" s="194"/>
      <c r="Z20" s="45"/>
      <c r="AA20" s="45"/>
      <c r="AB20" s="194">
        <f>+AO20</f>
        <v>287760.73588888888</v>
      </c>
      <c r="AC20" s="194"/>
      <c r="AD20" s="33"/>
      <c r="AE20" s="33"/>
      <c r="AF20" s="194">
        <f>+AO20</f>
        <v>287760.73588888888</v>
      </c>
      <c r="AG20" s="194"/>
      <c r="AH20" s="45"/>
      <c r="AI20" s="45"/>
      <c r="AJ20" s="194">
        <f>+AO20</f>
        <v>287760.73588888888</v>
      </c>
      <c r="AK20" s="194"/>
      <c r="AL20" s="45"/>
      <c r="AM20" s="144">
        <f>SUM(D20:AK20)</f>
        <v>2589846.6230000001</v>
      </c>
      <c r="AN20" s="45"/>
      <c r="AO20" s="163">
        <f>AO19/9</f>
        <v>287760.73588888888</v>
      </c>
      <c r="AP20" s="144"/>
      <c r="AQ20" s="45"/>
    </row>
    <row r="21" spans="1:43" s="157" customFormat="1" ht="12" customHeight="1" x14ac:dyDescent="0.25">
      <c r="A21" s="139"/>
      <c r="B21" s="33"/>
      <c r="C21" s="33"/>
      <c r="D21" s="158"/>
      <c r="E21" s="158"/>
      <c r="F21" s="156"/>
      <c r="G21" s="156"/>
      <c r="H21" s="158"/>
      <c r="I21" s="158"/>
      <c r="J21" s="156"/>
      <c r="K21" s="156"/>
      <c r="L21" s="158"/>
      <c r="M21" s="158"/>
      <c r="N21" s="156"/>
      <c r="O21" s="156"/>
      <c r="P21" s="158"/>
      <c r="Q21" s="158"/>
      <c r="R21" s="33"/>
      <c r="S21" s="33"/>
      <c r="T21" s="158"/>
      <c r="U21" s="158"/>
      <c r="V21" s="156"/>
      <c r="W21" s="156"/>
      <c r="X21" s="158"/>
      <c r="Y21" s="158"/>
      <c r="Z21" s="156"/>
      <c r="AA21" s="156"/>
      <c r="AB21" s="158"/>
      <c r="AC21" s="158"/>
      <c r="AD21" s="33"/>
      <c r="AE21" s="33"/>
      <c r="AF21" s="158"/>
      <c r="AG21" s="158"/>
      <c r="AH21" s="156"/>
      <c r="AI21" s="156"/>
      <c r="AJ21" s="158"/>
      <c r="AK21" s="158"/>
      <c r="AL21" s="156"/>
      <c r="AM21" s="144"/>
      <c r="AN21" s="156"/>
      <c r="AO21" s="163"/>
      <c r="AP21" s="144"/>
      <c r="AQ21" s="156"/>
    </row>
    <row r="22" spans="1:43" s="157" customFormat="1" ht="12" customHeight="1" x14ac:dyDescent="0.25">
      <c r="A22" s="139"/>
      <c r="B22" s="33"/>
      <c r="C22" s="33"/>
      <c r="D22" s="158"/>
      <c r="E22" s="158"/>
      <c r="F22" s="156"/>
      <c r="G22" s="156"/>
      <c r="H22" s="158"/>
      <c r="I22" s="158"/>
      <c r="J22" s="156"/>
      <c r="K22" s="156"/>
      <c r="L22" s="158"/>
      <c r="M22" s="158"/>
      <c r="N22" s="156"/>
      <c r="O22" s="156"/>
      <c r="P22" s="158"/>
      <c r="Q22" s="158"/>
      <c r="R22" s="33"/>
      <c r="S22" s="33"/>
      <c r="T22" s="158"/>
      <c r="U22" s="158"/>
      <c r="V22" s="156"/>
      <c r="W22" s="156"/>
      <c r="X22" s="158"/>
      <c r="Y22" s="158"/>
      <c r="Z22" s="156"/>
      <c r="AA22" s="156"/>
      <c r="AB22" s="158"/>
      <c r="AC22" s="158"/>
      <c r="AD22" s="33"/>
      <c r="AE22" s="33"/>
      <c r="AF22" s="158"/>
      <c r="AG22" s="158"/>
      <c r="AH22" s="156"/>
      <c r="AI22" s="156"/>
      <c r="AJ22" s="158"/>
      <c r="AK22" s="158"/>
      <c r="AL22" s="156"/>
      <c r="AM22" s="144"/>
      <c r="AN22" s="156"/>
      <c r="AO22" s="163"/>
      <c r="AP22" s="144"/>
      <c r="AQ22" s="156"/>
    </row>
    <row r="23" spans="1:43" s="157" customFormat="1" ht="12" customHeight="1" x14ac:dyDescent="0.25">
      <c r="A23" s="139"/>
      <c r="B23" s="33"/>
      <c r="C23" s="33"/>
      <c r="D23" s="158"/>
      <c r="E23" s="158"/>
      <c r="F23" s="156"/>
      <c r="G23" s="156"/>
      <c r="H23" s="158"/>
      <c r="I23" s="158"/>
      <c r="J23" s="156"/>
      <c r="K23" s="156"/>
      <c r="L23" s="158"/>
      <c r="M23" s="158"/>
      <c r="N23" s="156"/>
      <c r="O23" s="156"/>
      <c r="P23" s="158"/>
      <c r="Q23" s="158"/>
      <c r="R23" s="33"/>
      <c r="S23" s="33"/>
      <c r="T23" s="158"/>
      <c r="U23" s="158"/>
      <c r="V23" s="156"/>
      <c r="W23" s="156"/>
      <c r="X23" s="158"/>
      <c r="Y23" s="158"/>
      <c r="Z23" s="156"/>
      <c r="AA23" s="156"/>
      <c r="AB23" s="158"/>
      <c r="AC23" s="158"/>
      <c r="AD23" s="33"/>
      <c r="AE23" s="33"/>
      <c r="AF23" s="158"/>
      <c r="AG23" s="158"/>
      <c r="AH23" s="156"/>
      <c r="AI23" s="156"/>
      <c r="AJ23" s="158"/>
      <c r="AK23" s="158"/>
      <c r="AL23" s="156"/>
      <c r="AM23" s="144"/>
      <c r="AN23" s="156"/>
      <c r="AO23" s="163"/>
      <c r="AP23" s="144"/>
      <c r="AQ23" s="156"/>
    </row>
    <row r="24" spans="1:43" ht="12" customHeight="1" x14ac:dyDescent="0.25">
      <c r="A24" s="139"/>
      <c r="B24" s="33"/>
      <c r="C24" s="33"/>
      <c r="D24" s="138"/>
      <c r="E24" s="45"/>
      <c r="F24" s="45"/>
      <c r="G24" s="45"/>
      <c r="H24" s="138"/>
      <c r="I24" s="45"/>
      <c r="J24" s="33"/>
      <c r="K24" s="33"/>
      <c r="L24" s="138"/>
      <c r="M24" s="45"/>
      <c r="N24" s="45"/>
      <c r="O24" s="45"/>
      <c r="P24" s="138"/>
      <c r="Q24" s="45"/>
      <c r="R24" s="33"/>
      <c r="S24" s="33"/>
      <c r="T24" s="138"/>
      <c r="U24" s="45"/>
      <c r="V24" s="45"/>
      <c r="W24" s="45"/>
      <c r="X24" s="138"/>
      <c r="Y24" s="45"/>
      <c r="Z24" s="45"/>
      <c r="AA24" s="45"/>
      <c r="AB24" s="138"/>
      <c r="AC24" s="45"/>
      <c r="AD24" s="33"/>
      <c r="AE24" s="33"/>
      <c r="AF24" s="138"/>
      <c r="AG24" s="45"/>
      <c r="AH24" s="33"/>
      <c r="AI24" s="33"/>
      <c r="AJ24" s="138"/>
      <c r="AK24" s="45"/>
      <c r="AL24" s="45"/>
      <c r="AM24" s="144"/>
      <c r="AN24" s="45"/>
      <c r="AO24" s="162"/>
      <c r="AP24" s="144"/>
      <c r="AQ24" s="45"/>
    </row>
    <row r="25" spans="1:43" ht="12" customHeight="1" x14ac:dyDescent="0.25">
      <c r="A25" s="203" t="s">
        <v>48</v>
      </c>
      <c r="B25" s="203"/>
      <c r="C25" s="195" t="s">
        <v>80</v>
      </c>
      <c r="D25" s="195"/>
      <c r="E25" s="197" t="s">
        <v>81</v>
      </c>
      <c r="F25" s="197"/>
      <c r="G25" s="197"/>
      <c r="H25" s="197"/>
      <c r="I25" s="197" t="s">
        <v>51</v>
      </c>
      <c r="J25" s="197"/>
      <c r="K25" s="197"/>
      <c r="L25" s="201" t="s">
        <v>82</v>
      </c>
      <c r="M25" s="201"/>
      <c r="N25" s="201"/>
      <c r="O25" s="45"/>
      <c r="P25" s="138"/>
      <c r="Q25" s="45"/>
      <c r="R25" s="33"/>
      <c r="S25" s="33"/>
      <c r="T25" s="138"/>
      <c r="U25" s="45"/>
      <c r="V25" s="33"/>
      <c r="W25" s="33"/>
      <c r="X25" s="138"/>
      <c r="Y25" s="45"/>
      <c r="Z25" s="45"/>
      <c r="AA25" s="45"/>
      <c r="AB25" s="138"/>
      <c r="AC25" s="45"/>
      <c r="AD25" s="33"/>
      <c r="AE25" s="33"/>
      <c r="AF25" s="138"/>
      <c r="AG25" s="45"/>
      <c r="AH25" s="33"/>
      <c r="AI25" s="33"/>
      <c r="AJ25" s="138"/>
      <c r="AK25" s="45"/>
      <c r="AL25" s="45"/>
      <c r="AM25" s="138"/>
      <c r="AN25" s="45"/>
      <c r="AO25" s="162"/>
      <c r="AP25" s="45"/>
      <c r="AQ25" s="45"/>
    </row>
    <row r="26" spans="1:43" ht="12" customHeight="1" x14ac:dyDescent="0.25">
      <c r="A26" s="204">
        <v>514525</v>
      </c>
      <c r="B26" s="204"/>
      <c r="C26" s="196" t="s">
        <v>57</v>
      </c>
      <c r="D26" s="196"/>
      <c r="E26" s="198" t="s">
        <v>52</v>
      </c>
      <c r="F26" s="198"/>
      <c r="G26" s="198"/>
      <c r="H26" s="198"/>
      <c r="I26" s="199">
        <f>+D20</f>
        <v>287760.73588888888</v>
      </c>
      <c r="J26" s="200"/>
      <c r="K26" s="200"/>
      <c r="L26" s="201"/>
      <c r="M26" s="201"/>
      <c r="N26" s="201"/>
      <c r="O26" s="45"/>
      <c r="P26" s="138"/>
      <c r="Q26" s="45"/>
      <c r="R26" s="33"/>
      <c r="S26" s="33"/>
      <c r="T26" s="138"/>
      <c r="U26" s="45"/>
      <c r="V26" s="33"/>
      <c r="W26" s="33"/>
      <c r="X26" s="138"/>
      <c r="Y26" s="45"/>
      <c r="Z26" s="45"/>
      <c r="AA26" s="45"/>
      <c r="AB26" s="138"/>
      <c r="AC26" s="45"/>
      <c r="AD26" s="45"/>
      <c r="AE26" s="45"/>
      <c r="AF26" s="138"/>
      <c r="AG26" s="45"/>
      <c r="AH26" s="45"/>
      <c r="AI26" s="45"/>
      <c r="AJ26" s="138"/>
      <c r="AK26" s="45"/>
      <c r="AL26" s="147"/>
      <c r="AM26" s="138"/>
      <c r="AN26" s="148"/>
      <c r="AO26" s="162"/>
      <c r="AP26" s="144"/>
      <c r="AQ26" s="45"/>
    </row>
    <row r="27" spans="1:43" ht="12" customHeight="1" x14ac:dyDescent="0.25">
      <c r="A27" s="204">
        <v>734525</v>
      </c>
      <c r="B27" s="204"/>
      <c r="C27" s="196" t="s">
        <v>61</v>
      </c>
      <c r="D27" s="196"/>
      <c r="E27" s="198" t="s">
        <v>33</v>
      </c>
      <c r="F27" s="198"/>
      <c r="G27" s="198"/>
      <c r="H27" s="198"/>
      <c r="I27" s="199">
        <f>+H20</f>
        <v>287760.73588888888</v>
      </c>
      <c r="J27" s="200"/>
      <c r="K27" s="200"/>
      <c r="L27" s="201"/>
      <c r="M27" s="201"/>
      <c r="N27" s="201"/>
      <c r="O27" s="45"/>
      <c r="P27" s="138"/>
      <c r="Q27" s="45"/>
      <c r="R27" s="33"/>
      <c r="S27" s="33"/>
      <c r="T27" s="138"/>
      <c r="U27" s="45"/>
      <c r="V27" s="45"/>
      <c r="W27" s="45"/>
      <c r="X27" s="138"/>
      <c r="Y27" s="45"/>
      <c r="Z27" s="45"/>
      <c r="AA27" s="45"/>
      <c r="AB27" s="138"/>
      <c r="AC27" s="45"/>
      <c r="AD27" s="33"/>
      <c r="AE27" s="33"/>
      <c r="AF27" s="138"/>
      <c r="AG27" s="45"/>
      <c r="AH27" s="45"/>
      <c r="AI27" s="45"/>
      <c r="AJ27" s="138"/>
      <c r="AK27" s="45"/>
      <c r="AL27" s="45"/>
      <c r="AM27" s="138"/>
      <c r="AN27" s="45"/>
      <c r="AO27" s="162"/>
      <c r="AP27" s="45"/>
      <c r="AQ27" s="45"/>
    </row>
    <row r="28" spans="1:43" ht="12" customHeight="1" x14ac:dyDescent="0.25">
      <c r="A28" s="204">
        <v>734525</v>
      </c>
      <c r="B28" s="204"/>
      <c r="C28" s="196" t="s">
        <v>63</v>
      </c>
      <c r="D28" s="196"/>
      <c r="E28" s="198" t="s">
        <v>34</v>
      </c>
      <c r="F28" s="198"/>
      <c r="G28" s="198"/>
      <c r="H28" s="198"/>
      <c r="I28" s="199">
        <f>+L20</f>
        <v>287760.73588888888</v>
      </c>
      <c r="J28" s="200"/>
      <c r="K28" s="200"/>
      <c r="L28" s="201"/>
      <c r="M28" s="201"/>
      <c r="N28" s="201"/>
      <c r="O28" s="45"/>
      <c r="P28" s="138"/>
      <c r="Q28" s="45"/>
      <c r="R28" s="45"/>
      <c r="S28" s="45"/>
      <c r="T28" s="138"/>
      <c r="U28" s="45"/>
      <c r="V28" s="45"/>
      <c r="W28" s="45"/>
      <c r="X28" s="138"/>
      <c r="Y28" s="45"/>
      <c r="Z28" s="45"/>
      <c r="AA28" s="45"/>
      <c r="AB28" s="138"/>
      <c r="AC28" s="45"/>
      <c r="AD28" s="45"/>
      <c r="AE28" s="45"/>
      <c r="AF28" s="138"/>
      <c r="AG28" s="45"/>
      <c r="AH28" s="45"/>
      <c r="AI28" s="45"/>
      <c r="AJ28" s="138"/>
      <c r="AK28" s="45"/>
      <c r="AL28" s="45"/>
      <c r="AM28" s="138"/>
      <c r="AN28" s="148"/>
      <c r="AO28" s="162"/>
      <c r="AP28" s="45"/>
      <c r="AQ28" s="45"/>
    </row>
    <row r="29" spans="1:43" ht="12" customHeight="1" x14ac:dyDescent="0.25">
      <c r="A29" s="204">
        <v>734525</v>
      </c>
      <c r="B29" s="204"/>
      <c r="C29" s="196" t="s">
        <v>64</v>
      </c>
      <c r="D29" s="196"/>
      <c r="E29" s="198" t="s">
        <v>35</v>
      </c>
      <c r="F29" s="198"/>
      <c r="G29" s="198"/>
      <c r="H29" s="198"/>
      <c r="I29" s="199">
        <f>+P20</f>
        <v>287760.73588888888</v>
      </c>
      <c r="J29" s="200"/>
      <c r="K29" s="200"/>
      <c r="L29" s="201"/>
      <c r="M29" s="201"/>
      <c r="N29" s="201"/>
      <c r="O29" s="45"/>
      <c r="P29" s="138"/>
      <c r="Q29" s="45"/>
      <c r="R29" s="45"/>
      <c r="S29" s="45"/>
      <c r="T29" s="138"/>
      <c r="U29" s="45"/>
      <c r="V29" s="45"/>
      <c r="W29" s="45"/>
      <c r="X29" s="138"/>
      <c r="Y29" s="45"/>
      <c r="Z29" s="45"/>
      <c r="AA29" s="45"/>
      <c r="AB29" s="138"/>
      <c r="AC29" s="45"/>
      <c r="AD29" s="45"/>
      <c r="AE29" s="45"/>
      <c r="AF29" s="138"/>
      <c r="AG29" s="45"/>
      <c r="AH29" s="45"/>
      <c r="AI29" s="45"/>
      <c r="AJ29" s="138"/>
      <c r="AK29" s="45"/>
      <c r="AL29" s="45"/>
      <c r="AM29" s="138"/>
      <c r="AN29" s="148"/>
      <c r="AO29" s="162"/>
      <c r="AP29" s="45"/>
      <c r="AQ29" s="45"/>
    </row>
    <row r="30" spans="1:43" ht="12" customHeight="1" x14ac:dyDescent="0.25">
      <c r="A30" s="204">
        <v>734525</v>
      </c>
      <c r="B30" s="204"/>
      <c r="C30" s="196" t="s">
        <v>60</v>
      </c>
      <c r="D30" s="196"/>
      <c r="E30" s="198" t="s">
        <v>37</v>
      </c>
      <c r="F30" s="198"/>
      <c r="G30" s="198"/>
      <c r="H30" s="198"/>
      <c r="I30" s="199">
        <f>+T20</f>
        <v>287760.73588888888</v>
      </c>
      <c r="J30" s="200"/>
      <c r="K30" s="200"/>
      <c r="L30" s="201"/>
      <c r="M30" s="201"/>
      <c r="N30" s="201"/>
      <c r="O30" s="45"/>
      <c r="P30" s="138"/>
      <c r="Q30" s="45"/>
      <c r="R30" s="33"/>
      <c r="S30" s="33"/>
      <c r="T30" s="138"/>
      <c r="U30" s="45"/>
      <c r="V30" s="45"/>
      <c r="W30" s="45"/>
      <c r="X30" s="138"/>
      <c r="Y30" s="45"/>
      <c r="Z30" s="45"/>
      <c r="AA30" s="45"/>
      <c r="AB30" s="138"/>
      <c r="AC30" s="45"/>
      <c r="AD30" s="45"/>
      <c r="AE30" s="45"/>
      <c r="AF30" s="138"/>
      <c r="AG30" s="45"/>
      <c r="AH30" s="45"/>
      <c r="AI30" s="45"/>
      <c r="AJ30" s="138"/>
      <c r="AK30" s="45"/>
      <c r="AL30" s="45"/>
      <c r="AM30" s="138"/>
      <c r="AN30" s="148"/>
      <c r="AO30" s="162"/>
      <c r="AP30" s="45"/>
      <c r="AQ30" s="45"/>
    </row>
    <row r="31" spans="1:43" ht="12" customHeight="1" x14ac:dyDescent="0.25">
      <c r="A31" s="204">
        <v>734525</v>
      </c>
      <c r="B31" s="204"/>
      <c r="C31" s="196" t="s">
        <v>56</v>
      </c>
      <c r="D31" s="196"/>
      <c r="E31" s="198" t="s">
        <v>53</v>
      </c>
      <c r="F31" s="198"/>
      <c r="G31" s="198"/>
      <c r="H31" s="198"/>
      <c r="I31" s="199">
        <f>+X20</f>
        <v>287760.73588888888</v>
      </c>
      <c r="J31" s="200"/>
      <c r="K31" s="200"/>
      <c r="L31" s="201"/>
      <c r="M31" s="201"/>
      <c r="N31" s="201"/>
      <c r="O31" s="45"/>
      <c r="P31" s="138"/>
      <c r="Q31" s="45"/>
      <c r="R31" s="45"/>
      <c r="S31" s="45"/>
      <c r="T31" s="45"/>
      <c r="U31" s="45"/>
      <c r="V31" s="45"/>
      <c r="W31" s="45"/>
      <c r="X31" s="138"/>
      <c r="Y31" s="45"/>
      <c r="Z31" s="45"/>
      <c r="AA31" s="45"/>
      <c r="AB31" s="138"/>
      <c r="AC31" s="45"/>
      <c r="AD31" s="45"/>
      <c r="AE31" s="45"/>
      <c r="AF31" s="138"/>
      <c r="AG31" s="45"/>
      <c r="AH31" s="45"/>
      <c r="AI31" s="45"/>
      <c r="AJ31" s="138"/>
      <c r="AK31" s="45"/>
      <c r="AL31" s="45"/>
      <c r="AM31" s="138"/>
      <c r="AN31" s="148"/>
      <c r="AO31" s="162"/>
      <c r="AP31" s="45"/>
      <c r="AQ31" s="45"/>
    </row>
    <row r="32" spans="1:43" ht="12" customHeight="1" x14ac:dyDescent="0.25">
      <c r="A32" s="204">
        <v>514525</v>
      </c>
      <c r="B32" s="204"/>
      <c r="C32" s="196" t="s">
        <v>58</v>
      </c>
      <c r="D32" s="196"/>
      <c r="E32" s="198" t="s">
        <v>45</v>
      </c>
      <c r="F32" s="198"/>
      <c r="G32" s="198"/>
      <c r="H32" s="198"/>
      <c r="I32" s="199">
        <f>+AB20</f>
        <v>287760.73588888888</v>
      </c>
      <c r="J32" s="200"/>
      <c r="K32" s="200"/>
      <c r="L32" s="201"/>
      <c r="M32" s="201"/>
      <c r="N32" s="201"/>
      <c r="O32" s="45"/>
      <c r="P32" s="138"/>
      <c r="Q32" s="45"/>
      <c r="R32" s="33"/>
      <c r="S32" s="33"/>
      <c r="T32" s="138"/>
      <c r="U32" s="45"/>
      <c r="V32" s="45"/>
      <c r="W32" s="45"/>
      <c r="X32" s="138"/>
      <c r="Y32" s="45"/>
      <c r="Z32" s="45"/>
      <c r="AA32" s="45"/>
      <c r="AB32" s="138"/>
      <c r="AC32" s="45"/>
      <c r="AD32" s="45"/>
      <c r="AE32" s="45"/>
      <c r="AF32" s="138"/>
      <c r="AG32" s="45"/>
      <c r="AH32" s="45"/>
      <c r="AI32" s="45"/>
      <c r="AJ32" s="138"/>
      <c r="AK32" s="45"/>
      <c r="AL32" s="45"/>
      <c r="AM32" s="138"/>
      <c r="AN32" s="148"/>
      <c r="AO32" s="162"/>
      <c r="AP32" s="45"/>
      <c r="AQ32" s="45"/>
    </row>
    <row r="33" spans="1:43" ht="12" customHeight="1" x14ac:dyDescent="0.25">
      <c r="A33" s="204">
        <v>734525</v>
      </c>
      <c r="B33" s="204"/>
      <c r="C33" s="196" t="s">
        <v>62</v>
      </c>
      <c r="D33" s="196"/>
      <c r="E33" s="198" t="s">
        <v>55</v>
      </c>
      <c r="F33" s="198"/>
      <c r="G33" s="198"/>
      <c r="H33" s="198"/>
      <c r="I33" s="199">
        <f>+AF20</f>
        <v>287760.73588888888</v>
      </c>
      <c r="J33" s="200"/>
      <c r="K33" s="200"/>
      <c r="L33" s="201"/>
      <c r="M33" s="201"/>
      <c r="N33" s="201"/>
      <c r="O33" s="33"/>
      <c r="P33" s="138"/>
      <c r="Q33" s="45"/>
      <c r="R33" s="33"/>
      <c r="S33" s="33"/>
      <c r="T33" s="138"/>
      <c r="U33" s="45"/>
      <c r="V33" s="45"/>
      <c r="W33" s="45"/>
      <c r="X33" s="138"/>
      <c r="Y33" s="45"/>
      <c r="Z33" s="45"/>
      <c r="AA33" s="45"/>
      <c r="AB33" s="138"/>
      <c r="AC33" s="45"/>
      <c r="AD33" s="45"/>
      <c r="AE33" s="45"/>
      <c r="AF33" s="138"/>
      <c r="AG33" s="45"/>
      <c r="AH33" s="45"/>
      <c r="AI33" s="45"/>
      <c r="AJ33" s="138"/>
      <c r="AK33" s="45"/>
      <c r="AL33" s="45"/>
      <c r="AM33" s="138"/>
      <c r="AN33" s="148"/>
      <c r="AO33" s="162"/>
      <c r="AP33" s="45"/>
      <c r="AQ33" s="45"/>
    </row>
    <row r="34" spans="1:43" ht="12" customHeight="1" x14ac:dyDescent="0.25">
      <c r="A34" s="204">
        <v>734525</v>
      </c>
      <c r="B34" s="204"/>
      <c r="C34" s="196" t="s">
        <v>59</v>
      </c>
      <c r="D34" s="196"/>
      <c r="E34" s="198" t="s">
        <v>83</v>
      </c>
      <c r="F34" s="198"/>
      <c r="G34" s="198"/>
      <c r="H34" s="198"/>
      <c r="I34" s="199">
        <f>+AJ20</f>
        <v>287760.73588888888</v>
      </c>
      <c r="J34" s="200"/>
      <c r="K34" s="200"/>
      <c r="L34" s="201"/>
      <c r="M34" s="201"/>
      <c r="N34" s="201"/>
      <c r="O34" s="45"/>
      <c r="P34" s="138"/>
      <c r="Q34" s="45"/>
      <c r="R34" s="45"/>
      <c r="S34" s="45"/>
      <c r="T34" s="138"/>
      <c r="U34" s="45"/>
      <c r="V34" s="45"/>
      <c r="W34" s="45"/>
      <c r="X34" s="138"/>
      <c r="Y34" s="45"/>
      <c r="Z34" s="45"/>
      <c r="AA34" s="45"/>
      <c r="AB34" s="138"/>
      <c r="AC34" s="45"/>
      <c r="AD34" s="45"/>
      <c r="AE34" s="45"/>
      <c r="AF34" s="138"/>
      <c r="AG34" s="45"/>
      <c r="AH34" s="45"/>
      <c r="AI34" s="45"/>
      <c r="AJ34" s="138"/>
      <c r="AK34" s="45"/>
      <c r="AL34" s="45"/>
      <c r="AM34" s="138"/>
      <c r="AN34" s="148"/>
      <c r="AO34" s="162"/>
      <c r="AP34" s="45"/>
      <c r="AQ34" s="45"/>
    </row>
    <row r="35" spans="1:43" s="157" customFormat="1" ht="12" customHeight="1" x14ac:dyDescent="0.25">
      <c r="A35" s="204"/>
      <c r="B35" s="204"/>
      <c r="C35" s="196" t="s">
        <v>87</v>
      </c>
      <c r="D35" s="196"/>
      <c r="E35" s="196"/>
      <c r="F35" s="196"/>
      <c r="G35" s="196"/>
      <c r="H35" s="196"/>
      <c r="I35" s="199">
        <f>SUM(I26:K34)</f>
        <v>2589846.6230000001</v>
      </c>
      <c r="J35" s="199"/>
      <c r="K35" s="199"/>
      <c r="L35" s="201"/>
      <c r="M35" s="201"/>
      <c r="N35" s="201"/>
      <c r="O35" s="156"/>
      <c r="P35" s="138"/>
      <c r="Q35" s="156"/>
      <c r="R35" s="156"/>
      <c r="S35" s="156"/>
      <c r="T35" s="138"/>
      <c r="U35" s="156"/>
      <c r="V35" s="156"/>
      <c r="W35" s="156"/>
      <c r="X35" s="138"/>
      <c r="Y35" s="156"/>
      <c r="Z35" s="156"/>
      <c r="AA35" s="156"/>
      <c r="AB35" s="138"/>
      <c r="AC35" s="156"/>
      <c r="AD35" s="156"/>
      <c r="AE35" s="156"/>
      <c r="AF35" s="138"/>
      <c r="AG35" s="156"/>
      <c r="AH35" s="156"/>
      <c r="AI35" s="156"/>
      <c r="AJ35" s="138"/>
      <c r="AK35" s="156"/>
      <c r="AL35" s="156"/>
      <c r="AM35" s="138"/>
      <c r="AN35" s="148"/>
      <c r="AO35" s="162"/>
      <c r="AP35" s="156"/>
      <c r="AQ35" s="156"/>
    </row>
    <row r="36" spans="1:43" ht="12" customHeight="1" x14ac:dyDescent="0.25">
      <c r="A36" s="204"/>
      <c r="B36" s="204"/>
      <c r="C36" s="196" t="s">
        <v>84</v>
      </c>
      <c r="D36" s="196"/>
      <c r="E36" s="196"/>
      <c r="F36" s="196"/>
      <c r="G36" s="196"/>
      <c r="H36" s="196"/>
      <c r="I36" s="202"/>
      <c r="J36" s="197"/>
      <c r="K36" s="197"/>
      <c r="L36" s="199">
        <v>250000</v>
      </c>
      <c r="M36" s="200"/>
      <c r="N36" s="200"/>
      <c r="O36" s="45"/>
      <c r="P36" s="138"/>
      <c r="Q36" s="45"/>
      <c r="R36" s="45"/>
      <c r="S36" s="45"/>
      <c r="T36" s="138"/>
      <c r="U36" s="45"/>
      <c r="V36" s="45"/>
      <c r="W36" s="45"/>
      <c r="X36" s="138"/>
      <c r="Y36" s="45"/>
      <c r="Z36" s="45"/>
      <c r="AA36" s="45"/>
      <c r="AB36" s="138"/>
      <c r="AC36" s="45"/>
      <c r="AD36" s="45"/>
      <c r="AE36" s="45"/>
      <c r="AF36" s="138"/>
      <c r="AG36" s="45"/>
      <c r="AH36" s="45"/>
      <c r="AI36" s="45"/>
      <c r="AJ36" s="138"/>
      <c r="AK36" s="45"/>
      <c r="AL36" s="45"/>
      <c r="AM36" s="138"/>
      <c r="AN36" s="148"/>
      <c r="AO36" s="162"/>
      <c r="AP36" s="45"/>
      <c r="AQ36" s="45"/>
    </row>
    <row r="37" spans="1:43" ht="12" customHeight="1" x14ac:dyDescent="0.25">
      <c r="A37" s="204"/>
      <c r="B37" s="204"/>
      <c r="C37" s="196" t="s">
        <v>85</v>
      </c>
      <c r="D37" s="196"/>
      <c r="E37" s="196"/>
      <c r="F37" s="196"/>
      <c r="G37" s="196"/>
      <c r="H37" s="196"/>
      <c r="I37" s="202"/>
      <c r="J37" s="197"/>
      <c r="K37" s="197"/>
      <c r="L37" s="199">
        <f>(SUM(I26:K34)+L36)</f>
        <v>2839846.6230000001</v>
      </c>
      <c r="M37" s="200"/>
      <c r="N37" s="200"/>
      <c r="O37" s="33"/>
      <c r="P37" s="138"/>
      <c r="Q37" s="45"/>
      <c r="R37" s="45"/>
      <c r="S37" s="45"/>
      <c r="T37" s="138"/>
      <c r="U37" s="45"/>
      <c r="V37" s="45"/>
      <c r="W37" s="45"/>
      <c r="X37" s="138"/>
      <c r="Y37" s="45"/>
      <c r="Z37" s="45"/>
      <c r="AA37" s="45"/>
      <c r="AB37" s="138"/>
      <c r="AC37" s="45"/>
      <c r="AD37" s="45"/>
      <c r="AE37" s="45"/>
      <c r="AF37" s="138"/>
      <c r="AG37" s="45"/>
      <c r="AH37" s="45"/>
      <c r="AI37" s="45"/>
      <c r="AJ37" s="138"/>
      <c r="AK37" s="45"/>
      <c r="AL37" s="45"/>
      <c r="AM37" s="138"/>
      <c r="AN37" s="45"/>
      <c r="AO37" s="162"/>
      <c r="AP37" s="45"/>
      <c r="AQ37" s="45"/>
    </row>
    <row r="38" spans="1:43" ht="12" customHeight="1" x14ac:dyDescent="0.25">
      <c r="A38" s="204">
        <v>248080102</v>
      </c>
      <c r="B38" s="204"/>
      <c r="C38" s="196" t="s">
        <v>69</v>
      </c>
      <c r="D38" s="196"/>
      <c r="E38" s="196"/>
      <c r="F38" s="196"/>
      <c r="G38" s="196"/>
      <c r="H38" s="196"/>
      <c r="I38" s="202"/>
      <c r="J38" s="197"/>
      <c r="K38" s="197"/>
      <c r="L38" s="199">
        <f>SUM(L36:N37)*16%</f>
        <v>494375.45968000003</v>
      </c>
      <c r="M38" s="200"/>
      <c r="N38" s="200"/>
      <c r="O38" s="45"/>
      <c r="P38" s="138"/>
      <c r="Q38" s="45"/>
      <c r="R38" s="45"/>
      <c r="S38" s="45"/>
      <c r="T38" s="138"/>
      <c r="U38" s="45"/>
      <c r="V38" s="45"/>
      <c r="W38" s="45"/>
      <c r="X38" s="138"/>
      <c r="Y38" s="45"/>
      <c r="Z38" s="45"/>
      <c r="AA38" s="45"/>
      <c r="AB38" s="138"/>
      <c r="AC38" s="45"/>
      <c r="AD38" s="45"/>
      <c r="AE38" s="45"/>
      <c r="AF38" s="138"/>
      <c r="AG38" s="45"/>
      <c r="AH38" s="45"/>
      <c r="AI38" s="45"/>
      <c r="AJ38" s="138"/>
      <c r="AK38" s="45"/>
      <c r="AL38" s="45"/>
      <c r="AM38" s="138"/>
      <c r="AN38" s="45"/>
      <c r="AO38" s="162"/>
      <c r="AP38" s="45"/>
      <c r="AQ38" s="45"/>
    </row>
    <row r="39" spans="1:43" ht="12" customHeight="1" x14ac:dyDescent="0.25">
      <c r="A39" s="204"/>
      <c r="B39" s="204"/>
      <c r="C39" s="196" t="s">
        <v>73</v>
      </c>
      <c r="D39" s="196"/>
      <c r="E39" s="196"/>
      <c r="F39" s="196"/>
      <c r="G39" s="196"/>
      <c r="H39" s="196"/>
      <c r="I39" s="202"/>
      <c r="J39" s="197"/>
      <c r="K39" s="197"/>
      <c r="L39" s="199">
        <f>SUM(L37:N38)</f>
        <v>3334222.08268</v>
      </c>
      <c r="M39" s="200"/>
      <c r="N39" s="200"/>
      <c r="O39" s="45"/>
      <c r="P39" s="138"/>
      <c r="Q39" s="45"/>
      <c r="R39" s="33"/>
      <c r="S39" s="33"/>
      <c r="T39" s="138"/>
      <c r="U39" s="45"/>
      <c r="V39" s="45"/>
      <c r="W39" s="45"/>
      <c r="X39" s="138"/>
      <c r="Y39" s="45"/>
      <c r="Z39" s="45"/>
      <c r="AA39" s="45"/>
      <c r="AB39" s="138"/>
      <c r="AC39" s="45"/>
      <c r="AD39" s="45"/>
      <c r="AE39" s="45"/>
      <c r="AF39" s="138"/>
      <c r="AG39" s="45"/>
      <c r="AH39" s="45"/>
      <c r="AI39" s="45"/>
      <c r="AJ39" s="138"/>
      <c r="AK39" s="45"/>
      <c r="AL39" s="45"/>
      <c r="AM39" s="138"/>
      <c r="AN39" s="45"/>
      <c r="AO39" s="162"/>
      <c r="AP39" s="45"/>
      <c r="AQ39" s="45"/>
    </row>
    <row r="40" spans="1:43" ht="12" customHeight="1" x14ac:dyDescent="0.25">
      <c r="A40" s="204">
        <v>23652501</v>
      </c>
      <c r="B40" s="204"/>
      <c r="C40" s="196" t="s">
        <v>65</v>
      </c>
      <c r="D40" s="196"/>
      <c r="E40" s="196"/>
      <c r="F40" s="196"/>
      <c r="G40" s="196"/>
      <c r="H40" s="196"/>
      <c r="I40" s="202"/>
      <c r="J40" s="197"/>
      <c r="K40" s="197"/>
      <c r="L40" s="199">
        <f>L37*4%</f>
        <v>113593.86492000001</v>
      </c>
      <c r="M40" s="200"/>
      <c r="N40" s="200"/>
      <c r="O40" s="45"/>
      <c r="P40" s="138"/>
      <c r="Q40" s="45"/>
      <c r="R40" s="45"/>
      <c r="S40" s="45"/>
      <c r="T40" s="138"/>
      <c r="U40" s="45"/>
      <c r="V40" s="45"/>
      <c r="W40" s="45"/>
      <c r="X40" s="138"/>
      <c r="Y40" s="45"/>
      <c r="Z40" s="45"/>
      <c r="AA40" s="45"/>
      <c r="AB40" s="138"/>
      <c r="AC40" s="45"/>
      <c r="AD40" s="45"/>
      <c r="AE40" s="45"/>
      <c r="AF40" s="138"/>
      <c r="AG40" s="45"/>
      <c r="AH40" s="45"/>
      <c r="AI40" s="45"/>
      <c r="AJ40" s="138"/>
      <c r="AK40" s="45"/>
      <c r="AL40" s="45"/>
      <c r="AM40" s="138"/>
      <c r="AN40" s="45"/>
      <c r="AO40" s="162"/>
      <c r="AP40" s="45"/>
      <c r="AQ40" s="45"/>
    </row>
    <row r="41" spans="1:43" ht="12" customHeight="1" x14ac:dyDescent="0.25">
      <c r="A41" s="204">
        <v>23652501</v>
      </c>
      <c r="B41" s="204"/>
      <c r="C41" s="196" t="s">
        <v>70</v>
      </c>
      <c r="D41" s="196"/>
      <c r="E41" s="196"/>
      <c r="F41" s="196"/>
      <c r="G41" s="196"/>
      <c r="H41" s="196"/>
      <c r="I41" s="202"/>
      <c r="J41" s="197"/>
      <c r="K41" s="197"/>
      <c r="L41" s="199">
        <f>L37*8/1000</f>
        <v>22718.772984000003</v>
      </c>
      <c r="M41" s="200"/>
      <c r="N41" s="200"/>
      <c r="O41" s="45"/>
      <c r="P41" s="138"/>
      <c r="Q41" s="45"/>
      <c r="R41" s="33"/>
      <c r="S41" s="33"/>
      <c r="T41" s="138"/>
      <c r="U41" s="45"/>
      <c r="V41" s="45"/>
      <c r="W41" s="45"/>
      <c r="X41" s="138"/>
      <c r="Y41" s="45"/>
      <c r="Z41" s="45"/>
      <c r="AA41" s="45"/>
      <c r="AB41" s="138"/>
      <c r="AC41" s="45"/>
      <c r="AD41" s="45"/>
      <c r="AE41" s="45"/>
      <c r="AF41" s="138"/>
      <c r="AG41" s="45"/>
      <c r="AH41" s="45"/>
      <c r="AI41" s="45"/>
      <c r="AJ41" s="138"/>
      <c r="AK41" s="45"/>
      <c r="AL41" s="45"/>
      <c r="AM41" s="138"/>
      <c r="AN41" s="45"/>
      <c r="AO41" s="162"/>
      <c r="AP41" s="45"/>
      <c r="AQ41" s="45"/>
    </row>
    <row r="42" spans="1:43" ht="12" customHeight="1" x14ac:dyDescent="0.25">
      <c r="A42" s="204">
        <v>33595</v>
      </c>
      <c r="B42" s="204"/>
      <c r="C42" s="196" t="s">
        <v>86</v>
      </c>
      <c r="D42" s="196"/>
      <c r="E42" s="196"/>
      <c r="F42" s="196"/>
      <c r="G42" s="196"/>
      <c r="H42" s="196"/>
      <c r="I42" s="202"/>
      <c r="J42" s="197"/>
      <c r="K42" s="197"/>
      <c r="L42" s="199">
        <f>L37-L38-L40-L41</f>
        <v>2209158.5254160003</v>
      </c>
      <c r="M42" s="200"/>
      <c r="N42" s="200"/>
      <c r="O42" s="45"/>
      <c r="P42" s="138"/>
      <c r="Q42" s="45"/>
      <c r="R42" s="45"/>
      <c r="S42" s="45"/>
      <c r="T42" s="138"/>
      <c r="U42" s="45"/>
      <c r="V42" s="45"/>
      <c r="W42" s="45"/>
      <c r="X42" s="138"/>
      <c r="Y42" s="45"/>
      <c r="Z42" s="45"/>
      <c r="AA42" s="45"/>
      <c r="AB42" s="138"/>
      <c r="AC42" s="45"/>
      <c r="AD42" s="45"/>
      <c r="AE42" s="45"/>
      <c r="AF42" s="138"/>
      <c r="AG42" s="45"/>
      <c r="AH42" s="45"/>
      <c r="AI42" s="45"/>
      <c r="AJ42" s="138"/>
      <c r="AK42" s="45"/>
      <c r="AL42" s="45"/>
      <c r="AM42" s="159" t="s">
        <v>88</v>
      </c>
      <c r="AN42" s="159"/>
      <c r="AO42" s="164"/>
      <c r="AP42" s="45"/>
      <c r="AQ42" s="45"/>
    </row>
    <row r="43" spans="1:43" ht="12" customHeight="1" x14ac:dyDescent="0.25">
      <c r="A43" s="139"/>
      <c r="B43" s="33"/>
      <c r="C43" s="33"/>
      <c r="D43" s="138"/>
      <c r="E43" s="45"/>
      <c r="F43" s="45"/>
      <c r="G43" s="45"/>
      <c r="H43" s="138"/>
      <c r="I43" s="45"/>
      <c r="J43" s="33"/>
      <c r="K43" s="33"/>
      <c r="L43" s="138"/>
      <c r="M43" s="45"/>
      <c r="N43" s="45"/>
      <c r="O43" s="45"/>
      <c r="P43" s="138"/>
      <c r="Q43" s="45"/>
      <c r="R43" s="33"/>
      <c r="S43" s="33"/>
      <c r="T43" s="138"/>
      <c r="U43" s="45"/>
      <c r="V43" s="45"/>
      <c r="W43" s="45"/>
      <c r="X43" s="138"/>
      <c r="Y43" s="45"/>
      <c r="Z43" s="45"/>
      <c r="AA43" s="45"/>
      <c r="AB43" s="138"/>
      <c r="AC43" s="45"/>
      <c r="AD43" s="45"/>
      <c r="AE43" s="45"/>
      <c r="AF43" s="138"/>
      <c r="AG43" s="45"/>
      <c r="AH43" s="45"/>
      <c r="AI43" s="45"/>
      <c r="AJ43" s="138"/>
      <c r="AK43" s="45"/>
      <c r="AL43" s="45"/>
      <c r="AM43" s="138"/>
      <c r="AN43" s="45"/>
      <c r="AO43" s="33"/>
      <c r="AP43" s="45"/>
      <c r="AQ43" s="45"/>
    </row>
    <row r="44" spans="1:43" ht="12" customHeight="1" x14ac:dyDescent="0.25">
      <c r="A44" s="139"/>
      <c r="B44" s="33"/>
      <c r="C44" s="33"/>
      <c r="D44" s="138"/>
      <c r="E44" s="45"/>
      <c r="F44" s="45"/>
      <c r="G44" s="45"/>
      <c r="H44" s="138"/>
      <c r="I44" s="45"/>
      <c r="J44" s="33"/>
      <c r="K44" s="33"/>
      <c r="L44" s="138"/>
      <c r="M44" s="45"/>
      <c r="N44" s="45"/>
      <c r="O44" s="45"/>
      <c r="P44" s="138"/>
      <c r="Q44" s="45"/>
      <c r="R44" s="33"/>
      <c r="S44" s="33"/>
      <c r="T44" s="138"/>
      <c r="U44" s="45"/>
      <c r="V44" s="45"/>
      <c r="W44" s="45"/>
      <c r="X44" s="138"/>
      <c r="Y44" s="45"/>
      <c r="Z44" s="45"/>
      <c r="AA44" s="45"/>
      <c r="AB44" s="138"/>
      <c r="AC44" s="45"/>
      <c r="AD44" s="45"/>
      <c r="AE44" s="45"/>
      <c r="AF44" s="138"/>
      <c r="AG44" s="45"/>
      <c r="AH44" s="45"/>
      <c r="AI44" s="45"/>
      <c r="AJ44" s="138"/>
      <c r="AK44" s="45"/>
      <c r="AL44" s="45"/>
      <c r="AM44" s="138"/>
      <c r="AN44" s="45"/>
      <c r="AO44" s="33"/>
      <c r="AP44" s="45"/>
      <c r="AQ44" s="45"/>
    </row>
    <row r="45" spans="1:43" ht="12" customHeight="1" x14ac:dyDescent="0.25">
      <c r="A45" s="139"/>
      <c r="B45" s="33"/>
      <c r="C45" s="33"/>
      <c r="D45" s="138"/>
      <c r="E45" s="45"/>
      <c r="F45" s="45"/>
      <c r="G45" s="45"/>
      <c r="H45" s="138"/>
      <c r="I45" s="45"/>
      <c r="J45" s="33"/>
      <c r="K45" s="33"/>
      <c r="L45" s="138"/>
      <c r="M45" s="45"/>
      <c r="N45" s="45"/>
      <c r="O45" s="45"/>
      <c r="P45" s="138"/>
      <c r="Q45" s="45"/>
      <c r="R45" s="33"/>
      <c r="S45" s="33"/>
      <c r="T45" s="138"/>
      <c r="U45" s="45"/>
      <c r="V45" s="45"/>
      <c r="W45" s="45"/>
      <c r="X45" s="138"/>
      <c r="Y45" s="45"/>
      <c r="Z45" s="45"/>
      <c r="AA45" s="45"/>
      <c r="AB45" s="138"/>
      <c r="AC45" s="45"/>
      <c r="AD45" s="45"/>
      <c r="AE45" s="45"/>
      <c r="AF45" s="138"/>
      <c r="AG45" s="45"/>
      <c r="AH45" s="45"/>
      <c r="AI45" s="45"/>
      <c r="AJ45" s="138"/>
      <c r="AK45" s="45"/>
      <c r="AL45" s="45"/>
      <c r="AM45" s="138"/>
      <c r="AN45" s="45"/>
      <c r="AO45" s="33"/>
      <c r="AP45" s="45"/>
      <c r="AQ45" s="45"/>
    </row>
    <row r="46" spans="1:43" ht="12" customHeight="1" x14ac:dyDescent="0.25">
      <c r="A46" s="139"/>
      <c r="B46" s="33"/>
      <c r="C46" s="33"/>
      <c r="D46" s="138"/>
      <c r="E46" s="45"/>
      <c r="F46" s="45"/>
      <c r="G46" s="45"/>
      <c r="H46" s="138"/>
      <c r="I46" s="45"/>
      <c r="J46" s="33"/>
      <c r="K46" s="33"/>
      <c r="L46" s="138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5"/>
      <c r="AI46" s="45"/>
      <c r="AJ46" s="45"/>
      <c r="AK46" s="45"/>
      <c r="AL46" s="45"/>
      <c r="AM46" s="138"/>
      <c r="AN46" s="45"/>
      <c r="AO46" s="33"/>
      <c r="AP46" s="45"/>
      <c r="AQ46" s="45"/>
    </row>
    <row r="47" spans="1:43" ht="12" customHeight="1" x14ac:dyDescent="0.25">
      <c r="A47" s="45"/>
      <c r="B47" s="45"/>
      <c r="C47" s="45"/>
      <c r="D47" s="45"/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5"/>
      <c r="AI47" s="45"/>
      <c r="AJ47" s="45"/>
      <c r="AK47" s="45"/>
      <c r="AL47" s="45"/>
      <c r="AM47" s="138"/>
      <c r="AN47" s="45"/>
      <c r="AO47" s="33"/>
      <c r="AP47" s="45"/>
      <c r="AQ47" s="45"/>
    </row>
    <row r="48" spans="1:43" ht="12" customHeight="1" x14ac:dyDescent="0.25">
      <c r="A48" s="45"/>
      <c r="B48" s="45"/>
      <c r="C48" s="45"/>
      <c r="D48" s="138"/>
      <c r="E48" s="45"/>
      <c r="F48" s="140"/>
      <c r="G48" s="140"/>
      <c r="H48" s="138"/>
      <c r="I48" s="45"/>
      <c r="J48" s="140"/>
      <c r="K48" s="140"/>
      <c r="L48" s="138"/>
      <c r="M48" s="45"/>
      <c r="N48" s="140"/>
      <c r="O48" s="140"/>
      <c r="P48" s="138"/>
      <c r="Q48" s="45"/>
      <c r="R48" s="45"/>
      <c r="S48" s="45"/>
      <c r="T48" s="138"/>
      <c r="U48" s="45"/>
      <c r="V48" s="140"/>
      <c r="W48" s="140"/>
      <c r="X48" s="45"/>
      <c r="Y48" s="45"/>
      <c r="Z48" s="141"/>
      <c r="AA48" s="141"/>
      <c r="AB48" s="138"/>
      <c r="AC48" s="45"/>
      <c r="AD48" s="140"/>
      <c r="AE48" s="45"/>
      <c r="AF48" s="138"/>
      <c r="AG48" s="45"/>
      <c r="AH48" s="140"/>
      <c r="AI48" s="45"/>
      <c r="AJ48" s="138"/>
      <c r="AK48" s="140"/>
      <c r="AL48" s="45"/>
      <c r="AM48" s="138"/>
      <c r="AN48" s="45"/>
      <c r="AO48" s="33"/>
      <c r="AP48" s="45"/>
      <c r="AQ48" s="45"/>
    </row>
    <row r="49" spans="1:43" ht="12" customHeight="1" x14ac:dyDescent="0.25">
      <c r="A49" s="45"/>
      <c r="B49" s="45"/>
      <c r="C49" s="45"/>
      <c r="D49" s="138"/>
      <c r="E49" s="45"/>
      <c r="F49" s="140"/>
      <c r="G49" s="140"/>
      <c r="H49" s="138"/>
      <c r="I49" s="45"/>
      <c r="J49" s="140"/>
      <c r="K49" s="140"/>
      <c r="L49" s="138"/>
      <c r="M49" s="45"/>
      <c r="N49" s="140"/>
      <c r="O49" s="140"/>
      <c r="P49" s="138"/>
      <c r="Q49" s="45"/>
      <c r="R49" s="45"/>
      <c r="S49" s="45"/>
      <c r="T49" s="138"/>
      <c r="U49" s="45"/>
      <c r="V49" s="140"/>
      <c r="W49" s="140"/>
      <c r="X49" s="138"/>
      <c r="Y49" s="45"/>
      <c r="Z49" s="141"/>
      <c r="AA49" s="141"/>
      <c r="AB49" s="45"/>
      <c r="AC49" s="45"/>
      <c r="AD49" s="45"/>
      <c r="AE49" s="45"/>
      <c r="AF49" s="138"/>
      <c r="AG49" s="45"/>
      <c r="AH49" s="140"/>
      <c r="AI49" s="140"/>
      <c r="AJ49" s="45"/>
      <c r="AK49" s="45"/>
      <c r="AL49" s="45"/>
      <c r="AM49" s="138"/>
      <c r="AN49" s="45"/>
      <c r="AO49" s="33"/>
      <c r="AP49" s="45"/>
      <c r="AQ49" s="45"/>
    </row>
    <row r="50" spans="1:43" ht="12" customHeight="1" x14ac:dyDescent="0.25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5"/>
      <c r="AM50" s="138"/>
      <c r="AN50" s="45"/>
      <c r="AO50" s="33"/>
      <c r="AP50" s="45"/>
      <c r="AQ50" s="45"/>
    </row>
    <row r="51" spans="1:43" ht="12" customHeight="1" x14ac:dyDescent="0.25">
      <c r="A51" s="45"/>
      <c r="B51" s="45"/>
      <c r="C51" s="45"/>
      <c r="D51" s="138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5"/>
      <c r="AM51" s="138"/>
      <c r="AN51" s="45"/>
      <c r="AO51" s="33"/>
      <c r="AP51" s="45"/>
      <c r="AQ51" s="45"/>
    </row>
    <row r="52" spans="1:43" ht="12" customHeight="1" x14ac:dyDescent="0.25">
      <c r="A52" s="45"/>
      <c r="B52" s="45"/>
      <c r="C52" s="45"/>
      <c r="D52" s="138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138"/>
      <c r="AN52" s="45"/>
      <c r="AO52" s="33"/>
      <c r="AP52" s="45"/>
      <c r="AQ52" s="45"/>
    </row>
    <row r="53" spans="1:43" ht="12" customHeight="1" x14ac:dyDescent="0.25">
      <c r="A53" s="45"/>
      <c r="B53" s="45"/>
      <c r="C53" s="143"/>
      <c r="D53" s="143"/>
      <c r="E53" s="143"/>
      <c r="F53" s="143"/>
      <c r="G53" s="143"/>
      <c r="H53" s="143"/>
      <c r="I53" s="143"/>
      <c r="J53" s="143"/>
      <c r="K53" s="143"/>
      <c r="L53" s="143"/>
      <c r="M53" s="45"/>
      <c r="N53" s="143"/>
      <c r="O53" s="143"/>
      <c r="P53" s="143"/>
      <c r="Q53" s="45"/>
      <c r="R53" s="143"/>
      <c r="S53" s="143"/>
      <c r="T53" s="143"/>
      <c r="U53" s="45"/>
      <c r="V53" s="143"/>
      <c r="W53" s="143"/>
      <c r="X53" s="143"/>
      <c r="Y53" s="45"/>
      <c r="Z53" s="143"/>
      <c r="AA53" s="143"/>
      <c r="AB53" s="143"/>
      <c r="AC53" s="45"/>
      <c r="AD53" s="45"/>
      <c r="AE53" s="143"/>
      <c r="AF53" s="143"/>
      <c r="AG53" s="45"/>
      <c r="AH53" s="45"/>
      <c r="AI53" s="143"/>
      <c r="AJ53" s="143"/>
      <c r="AK53" s="45"/>
      <c r="AL53" s="45"/>
      <c r="AM53" s="138"/>
      <c r="AN53" s="45"/>
      <c r="AO53" s="33"/>
      <c r="AP53" s="45"/>
      <c r="AQ53" s="45"/>
    </row>
    <row r="54" spans="1:43" ht="12" customHeight="1" x14ac:dyDescent="0.25">
      <c r="A54" s="45"/>
      <c r="B54" s="45"/>
      <c r="C54" s="143"/>
      <c r="D54" s="143"/>
      <c r="E54" s="143"/>
      <c r="F54" s="143"/>
      <c r="G54" s="143"/>
      <c r="H54" s="143"/>
      <c r="I54" s="45"/>
      <c r="J54" s="45"/>
      <c r="K54" s="143"/>
      <c r="L54" s="143"/>
      <c r="M54" s="45"/>
      <c r="N54" s="143"/>
      <c r="O54" s="143"/>
      <c r="P54" s="143"/>
      <c r="Q54" s="45"/>
      <c r="R54" s="143"/>
      <c r="S54" s="143"/>
      <c r="T54" s="143"/>
      <c r="U54" s="45"/>
      <c r="V54" s="143"/>
      <c r="W54" s="143"/>
      <c r="X54" s="143"/>
      <c r="Y54" s="45"/>
      <c r="Z54" s="143"/>
      <c r="AA54" s="143"/>
      <c r="AB54" s="143"/>
      <c r="AC54" s="45"/>
      <c r="AD54" s="45"/>
      <c r="AE54" s="143"/>
      <c r="AF54" s="45"/>
      <c r="AG54" s="45"/>
      <c r="AH54" s="45"/>
      <c r="AI54" s="143"/>
      <c r="AJ54" s="45"/>
      <c r="AK54" s="45"/>
      <c r="AL54" s="45"/>
      <c r="AM54" s="138"/>
      <c r="AN54" s="45"/>
      <c r="AO54" s="33"/>
      <c r="AP54" s="45"/>
      <c r="AQ54" s="45"/>
    </row>
    <row r="55" spans="1:43" ht="12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  <c r="AL55" s="45"/>
      <c r="AM55" s="138"/>
      <c r="AN55" s="45"/>
      <c r="AO55" s="33"/>
      <c r="AP55" s="45"/>
      <c r="AQ55" s="45"/>
    </row>
    <row r="56" spans="1:43" ht="12" customHeight="1" x14ac:dyDescent="0.25">
      <c r="A56" s="45"/>
      <c r="B56" s="143"/>
      <c r="C56" s="143"/>
      <c r="D56" s="143"/>
      <c r="E56" s="45"/>
      <c r="F56" s="45"/>
      <c r="G56" s="143"/>
      <c r="H56" s="45"/>
      <c r="I56" s="45"/>
      <c r="J56" s="45"/>
      <c r="K56" s="143"/>
      <c r="L56" s="45"/>
      <c r="M56" s="45"/>
      <c r="N56" s="45"/>
      <c r="O56" s="143"/>
      <c r="P56" s="45"/>
      <c r="Q56" s="45"/>
      <c r="R56" s="45"/>
      <c r="S56" s="143"/>
      <c r="T56" s="143"/>
      <c r="U56" s="45"/>
      <c r="V56" s="45"/>
      <c r="W56" s="155"/>
      <c r="X56" s="45"/>
      <c r="Y56" s="45"/>
      <c r="Z56" s="45"/>
      <c r="AA56" s="155"/>
      <c r="AB56" s="45"/>
      <c r="AC56" s="45"/>
      <c r="AD56" s="45"/>
      <c r="AE56" s="143"/>
      <c r="AF56" s="45"/>
      <c r="AG56" s="45"/>
      <c r="AH56" s="45"/>
      <c r="AI56" s="155"/>
      <c r="AJ56" s="45"/>
      <c r="AK56" s="45"/>
      <c r="AL56" s="45"/>
      <c r="AM56" s="138"/>
      <c r="AN56" s="45"/>
      <c r="AO56" s="33"/>
      <c r="AP56" s="45"/>
      <c r="AQ56" s="45"/>
    </row>
    <row r="57" spans="1:43" ht="12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  <c r="AL57" s="45"/>
      <c r="AM57" s="138"/>
      <c r="AN57" s="45"/>
      <c r="AO57" s="33"/>
      <c r="AP57" s="45"/>
      <c r="AQ57" s="45"/>
    </row>
    <row r="58" spans="1:43" ht="12" customHeight="1" x14ac:dyDescent="0.25">
      <c r="A58" s="45"/>
      <c r="B58" s="45"/>
      <c r="C58" s="144"/>
      <c r="D58" s="144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  <c r="AL58" s="45"/>
      <c r="AM58" s="138"/>
      <c r="AN58" s="45"/>
      <c r="AO58" s="33"/>
      <c r="AP58" s="45"/>
      <c r="AQ58" s="45"/>
    </row>
    <row r="59" spans="1:43" ht="12" customHeight="1" x14ac:dyDescent="0.25">
      <c r="J59" s="128"/>
      <c r="K59" s="128"/>
    </row>
    <row r="60" spans="1:43" ht="12" customHeight="1" x14ac:dyDescent="0.25">
      <c r="H60" s="25"/>
      <c r="I60" s="25"/>
      <c r="J60" s="25"/>
      <c r="K60" s="25"/>
      <c r="L60" s="25"/>
      <c r="M60" s="25"/>
      <c r="N60" s="25"/>
      <c r="P60" s="129"/>
      <c r="Q60" s="129"/>
      <c r="R60" s="129"/>
      <c r="S60" s="129"/>
      <c r="T60" s="129"/>
    </row>
    <row r="61" spans="1:43" ht="12" customHeight="1" x14ac:dyDescent="0.25">
      <c r="H61" s="25"/>
      <c r="I61" s="25"/>
      <c r="J61" s="25"/>
      <c r="K61" s="25"/>
      <c r="L61" s="25"/>
      <c r="M61" s="25"/>
      <c r="N61" s="25"/>
    </row>
    <row r="62" spans="1:43" ht="12" customHeight="1" x14ac:dyDescent="0.25">
      <c r="H62" s="25"/>
      <c r="I62" s="25"/>
      <c r="J62" s="25"/>
      <c r="K62" s="25"/>
      <c r="L62" s="25"/>
      <c r="M62" s="25"/>
      <c r="N62" s="25"/>
    </row>
    <row r="67" spans="11:15" ht="12" customHeight="1" x14ac:dyDescent="0.25">
      <c r="K67" s="129"/>
      <c r="L67" s="129"/>
      <c r="M67" s="129"/>
      <c r="N67" s="129"/>
    </row>
    <row r="68" spans="11:15" ht="12" customHeight="1" x14ac:dyDescent="0.25">
      <c r="K68" s="129"/>
      <c r="L68" s="129"/>
      <c r="M68" s="129"/>
      <c r="N68" s="129"/>
      <c r="O68" s="129"/>
    </row>
    <row r="70" spans="11:15" ht="12" customHeight="1" x14ac:dyDescent="0.25">
      <c r="K70" s="129"/>
    </row>
  </sheetData>
  <sheetProtection password="C9B7" sheet="1" objects="1" scenarios="1"/>
  <customSheetViews>
    <customSheetView guid="{22025D35-FBC9-4749-A019-EF1F1F0642C2}" showPageBreaks="1" fitToPage="1" printArea="1" view="pageBreakPreview">
      <selection activeCell="AP33" sqref="AP33"/>
      <rowBreaks count="1" manualBreakCount="1">
        <brk id="6" max="16383" man="1"/>
      </rowBreaks>
      <colBreaks count="1" manualBreakCount="1">
        <brk id="4" max="1048575" man="1"/>
      </colBreaks>
      <pageMargins left="1.6929133858267718" right="0.70866141732283472" top="0.74803149606299213" bottom="0.74803149606299213" header="0.31496062992125984" footer="0.31496062992125984"/>
      <pageSetup paperSize="5" scale="77" orientation="landscape" horizontalDpi="300" verticalDpi="300" r:id="rId1"/>
    </customSheetView>
  </customSheetViews>
  <mergeCells count="100">
    <mergeCell ref="L35:N35"/>
    <mergeCell ref="A41:B41"/>
    <mergeCell ref="A42:B42"/>
    <mergeCell ref="A35:B35"/>
    <mergeCell ref="C35:H35"/>
    <mergeCell ref="I35:K35"/>
    <mergeCell ref="A36:B36"/>
    <mergeCell ref="A37:B37"/>
    <mergeCell ref="A38:B38"/>
    <mergeCell ref="A39:B39"/>
    <mergeCell ref="A40:B40"/>
    <mergeCell ref="C41:H41"/>
    <mergeCell ref="C42:H42"/>
    <mergeCell ref="I41:K41"/>
    <mergeCell ref="I42:K42"/>
    <mergeCell ref="L41:N41"/>
    <mergeCell ref="A30:B30"/>
    <mergeCell ref="A31:B31"/>
    <mergeCell ref="A32:B32"/>
    <mergeCell ref="A33:B33"/>
    <mergeCell ref="A34:B34"/>
    <mergeCell ref="A25:B25"/>
    <mergeCell ref="A26:B26"/>
    <mergeCell ref="A27:B27"/>
    <mergeCell ref="A28:B28"/>
    <mergeCell ref="A29:B29"/>
    <mergeCell ref="L42:N42"/>
    <mergeCell ref="L36:N36"/>
    <mergeCell ref="L37:N37"/>
    <mergeCell ref="L38:N38"/>
    <mergeCell ref="L39:N39"/>
    <mergeCell ref="L40:N40"/>
    <mergeCell ref="I36:K36"/>
    <mergeCell ref="I37:K37"/>
    <mergeCell ref="I38:K38"/>
    <mergeCell ref="I39:K39"/>
    <mergeCell ref="I40:K40"/>
    <mergeCell ref="C36:H36"/>
    <mergeCell ref="C37:H37"/>
    <mergeCell ref="C38:H38"/>
    <mergeCell ref="C39:H39"/>
    <mergeCell ref="C40:H40"/>
    <mergeCell ref="L32:N32"/>
    <mergeCell ref="L33:N33"/>
    <mergeCell ref="E34:H34"/>
    <mergeCell ref="C34:D34"/>
    <mergeCell ref="I34:K34"/>
    <mergeCell ref="L34:N34"/>
    <mergeCell ref="C32:D32"/>
    <mergeCell ref="C33:D33"/>
    <mergeCell ref="E32:H32"/>
    <mergeCell ref="E33:H33"/>
    <mergeCell ref="I32:K32"/>
    <mergeCell ref="I33:K33"/>
    <mergeCell ref="I30:K30"/>
    <mergeCell ref="I31:K31"/>
    <mergeCell ref="L25:N25"/>
    <mergeCell ref="L26:N26"/>
    <mergeCell ref="L27:N27"/>
    <mergeCell ref="L28:N28"/>
    <mergeCell ref="L29:N29"/>
    <mergeCell ref="L30:N30"/>
    <mergeCell ref="L31:N31"/>
    <mergeCell ref="I25:K25"/>
    <mergeCell ref="I26:K26"/>
    <mergeCell ref="I27:K27"/>
    <mergeCell ref="I28:K28"/>
    <mergeCell ref="I29:K29"/>
    <mergeCell ref="C28:D28"/>
    <mergeCell ref="C29:D29"/>
    <mergeCell ref="C30:D30"/>
    <mergeCell ref="C31:D31"/>
    <mergeCell ref="E28:H28"/>
    <mergeCell ref="E29:H29"/>
    <mergeCell ref="E30:H30"/>
    <mergeCell ref="E31:H31"/>
    <mergeCell ref="C26:D26"/>
    <mergeCell ref="E25:H25"/>
    <mergeCell ref="E26:H26"/>
    <mergeCell ref="E27:H27"/>
    <mergeCell ref="C27:D27"/>
    <mergeCell ref="T20:U20"/>
    <mergeCell ref="W4:Y4"/>
    <mergeCell ref="S4:U4"/>
    <mergeCell ref="AE4:AG4"/>
    <mergeCell ref="C25:D25"/>
    <mergeCell ref="C4:E4"/>
    <mergeCell ref="O4:Q4"/>
    <mergeCell ref="K4:M4"/>
    <mergeCell ref="G4:I4"/>
    <mergeCell ref="D20:E20"/>
    <mergeCell ref="H20:I20"/>
    <mergeCell ref="L20:M20"/>
    <mergeCell ref="P20:Q20"/>
    <mergeCell ref="AA4:AC4"/>
    <mergeCell ref="AI4:AK4"/>
    <mergeCell ref="X20:Y20"/>
    <mergeCell ref="AB20:AC20"/>
    <mergeCell ref="AF20:AG20"/>
    <mergeCell ref="AJ20:AK20"/>
  </mergeCells>
  <pageMargins left="1.6929133858267718" right="0.70866141732283472" top="0.74803149606299213" bottom="0.74803149606299213" header="0.31496062992125984" footer="0.31496062992125984"/>
  <pageSetup paperSize="5" scale="77" orientation="landscape" horizontalDpi="300" verticalDpi="300" r:id="rId2"/>
  <rowBreaks count="1" manualBreakCount="1">
    <brk id="6" max="16383" man="1"/>
  </rowBreaks>
  <colBreaks count="1" manualBreakCount="1">
    <brk id="4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fitToPage="1"/>
  </sheetPr>
  <dimension ref="A2:AP350"/>
  <sheetViews>
    <sheetView zoomScale="85" zoomScaleNormal="85" workbookViewId="0">
      <selection activeCell="A6" sqref="A6:XFD6"/>
    </sheetView>
  </sheetViews>
  <sheetFormatPr baseColWidth="10" defaultColWidth="11.42578125" defaultRowHeight="12" customHeight="1" x14ac:dyDescent="0.2"/>
  <cols>
    <col min="1" max="1" width="9.28515625" style="19" bestFit="1" customWidth="1"/>
    <col min="2" max="3" width="5.7109375" style="19" customWidth="1"/>
    <col min="4" max="4" width="7.85546875" style="19" bestFit="1" customWidth="1"/>
    <col min="5" max="5" width="0.85546875" style="19" customWidth="1"/>
    <col min="6" max="7" width="5.7109375" style="19" customWidth="1"/>
    <col min="8" max="8" width="6.85546875" style="19" customWidth="1"/>
    <col min="9" max="9" width="0.85546875" style="19" customWidth="1"/>
    <col min="10" max="11" width="5.7109375" style="19" customWidth="1"/>
    <col min="12" max="12" width="6.85546875" style="19" customWidth="1"/>
    <col min="13" max="13" width="0.85546875" style="19" customWidth="1"/>
    <col min="14" max="15" width="5.7109375" style="19" customWidth="1"/>
    <col min="16" max="16" width="6.85546875" style="19" customWidth="1"/>
    <col min="17" max="17" width="0.85546875" style="19" customWidth="1"/>
    <col min="18" max="19" width="5.7109375" style="19" customWidth="1"/>
    <col min="20" max="20" width="6.85546875" style="19" customWidth="1"/>
    <col min="21" max="21" width="0.85546875" style="19" customWidth="1"/>
    <col min="22" max="23" width="5.7109375" style="19" customWidth="1"/>
    <col min="24" max="24" width="6.85546875" style="19" customWidth="1"/>
    <col min="25" max="25" width="0.85546875" style="19" customWidth="1"/>
    <col min="26" max="27" width="5.7109375" style="19" customWidth="1"/>
    <col min="28" max="28" width="6.85546875" style="19" customWidth="1"/>
    <col min="29" max="29" width="0.85546875" style="19" customWidth="1"/>
    <col min="30" max="31" width="5.7109375" style="19" customWidth="1"/>
    <col min="32" max="32" width="6.85546875" style="19" customWidth="1"/>
    <col min="33" max="33" width="0.85546875" style="19" customWidth="1"/>
    <col min="34" max="35" width="5.7109375" style="19" customWidth="1"/>
    <col min="36" max="36" width="6.85546875" style="19" customWidth="1"/>
    <col min="37" max="39" width="11.42578125" style="19"/>
    <col min="40" max="40" width="19.5703125" style="19" bestFit="1" customWidth="1"/>
    <col min="41" max="41" width="11.42578125" style="19"/>
    <col min="42" max="42" width="11.140625" style="19" bestFit="1" customWidth="1"/>
    <col min="43" max="16384" width="11.42578125" style="19"/>
  </cols>
  <sheetData>
    <row r="2" spans="1:42" ht="12" customHeight="1" x14ac:dyDescent="0.2">
      <c r="C2" s="206" t="s">
        <v>29</v>
      </c>
      <c r="D2" s="206"/>
      <c r="E2" s="206"/>
      <c r="F2" s="206"/>
      <c r="G2" s="206"/>
      <c r="J2" s="20" t="s">
        <v>23</v>
      </c>
      <c r="K2" s="21"/>
      <c r="L2" s="207">
        <v>15172.5</v>
      </c>
      <c r="M2" s="207"/>
      <c r="N2" s="208"/>
      <c r="R2" s="22" t="s">
        <v>41</v>
      </c>
      <c r="S2" s="23"/>
      <c r="T2" s="209">
        <f>L2*0.25</f>
        <v>3793.125</v>
      </c>
      <c r="U2" s="209"/>
      <c r="V2" s="210"/>
    </row>
    <row r="3" spans="1:42" ht="12" customHeight="1" thickBot="1" x14ac:dyDescent="0.25"/>
    <row r="4" spans="1:42" ht="12" customHeight="1" x14ac:dyDescent="0.2">
      <c r="B4" s="211" t="s">
        <v>30</v>
      </c>
      <c r="C4" s="212"/>
      <c r="D4" s="213"/>
      <c r="F4" s="211" t="s">
        <v>33</v>
      </c>
      <c r="G4" s="212"/>
      <c r="H4" s="213"/>
      <c r="J4" s="211" t="s">
        <v>34</v>
      </c>
      <c r="K4" s="212"/>
      <c r="L4" s="213"/>
      <c r="N4" s="211" t="s">
        <v>35</v>
      </c>
      <c r="O4" s="212"/>
      <c r="P4" s="213"/>
      <c r="R4" s="211" t="s">
        <v>37</v>
      </c>
      <c r="S4" s="212"/>
      <c r="T4" s="213"/>
      <c r="V4" s="211" t="s">
        <v>38</v>
      </c>
      <c r="W4" s="212"/>
      <c r="X4" s="213"/>
      <c r="Z4" s="211" t="s">
        <v>45</v>
      </c>
      <c r="AA4" s="212"/>
      <c r="AB4" s="213"/>
      <c r="AD4" s="211" t="s">
        <v>46</v>
      </c>
      <c r="AE4" s="212"/>
      <c r="AF4" s="213"/>
      <c r="AH4" s="211" t="s">
        <v>47</v>
      </c>
      <c r="AI4" s="212"/>
      <c r="AJ4" s="213"/>
      <c r="AL4" s="74" t="s">
        <v>48</v>
      </c>
      <c r="AM4" s="74" t="s">
        <v>49</v>
      </c>
      <c r="AN4" s="74" t="s">
        <v>50</v>
      </c>
      <c r="AO4" s="74" t="s">
        <v>51</v>
      </c>
      <c r="AP4" s="74" t="s">
        <v>67</v>
      </c>
    </row>
    <row r="5" spans="1:42" ht="12" customHeight="1" thickBot="1" x14ac:dyDescent="0.25">
      <c r="B5" s="40" t="s">
        <v>31</v>
      </c>
      <c r="C5" s="41" t="s">
        <v>32</v>
      </c>
      <c r="D5" s="42"/>
      <c r="F5" s="24" t="s">
        <v>31</v>
      </c>
      <c r="G5" s="25" t="s">
        <v>32</v>
      </c>
      <c r="H5" s="42"/>
      <c r="J5" s="24" t="s">
        <v>31</v>
      </c>
      <c r="K5" s="25" t="s">
        <v>32</v>
      </c>
      <c r="L5" s="42"/>
      <c r="N5" s="24" t="s">
        <v>36</v>
      </c>
      <c r="O5" s="25" t="s">
        <v>32</v>
      </c>
      <c r="P5" s="42"/>
      <c r="R5" s="24" t="s">
        <v>31</v>
      </c>
      <c r="S5" s="25" t="s">
        <v>32</v>
      </c>
      <c r="T5" s="42"/>
      <c r="U5" s="130"/>
      <c r="V5" s="24" t="s">
        <v>31</v>
      </c>
      <c r="W5" s="25" t="s">
        <v>32</v>
      </c>
      <c r="X5" s="42"/>
      <c r="Z5" s="24" t="s">
        <v>31</v>
      </c>
      <c r="AA5" s="25" t="s">
        <v>32</v>
      </c>
      <c r="AB5" s="42"/>
      <c r="AD5" s="49"/>
      <c r="AE5" s="50"/>
      <c r="AF5" s="51"/>
      <c r="AH5" s="49"/>
      <c r="AI5" s="50"/>
      <c r="AJ5" s="51"/>
      <c r="AL5" s="75">
        <v>514525</v>
      </c>
      <c r="AM5" s="75" t="s">
        <v>57</v>
      </c>
      <c r="AN5" s="75" t="s">
        <v>52</v>
      </c>
      <c r="AO5" s="93">
        <f>+C52</f>
        <v>245339.33</v>
      </c>
      <c r="AP5" s="75"/>
    </row>
    <row r="6" spans="1:42" ht="12" customHeight="1" x14ac:dyDescent="0.2">
      <c r="A6" s="76">
        <v>42006</v>
      </c>
      <c r="B6" s="84">
        <v>0.28194444444444444</v>
      </c>
      <c r="C6" s="85">
        <v>0.45833333333333331</v>
      </c>
      <c r="D6" s="86">
        <f t="shared" ref="D6:D42" si="0">C6-B6</f>
        <v>0.17638888888888887</v>
      </c>
      <c r="E6" s="30"/>
      <c r="F6" s="27"/>
      <c r="G6" s="28"/>
      <c r="H6" s="34">
        <f t="shared" ref="H6:H24" si="1">G6-F6</f>
        <v>0</v>
      </c>
      <c r="I6" s="31"/>
      <c r="J6" s="27">
        <v>0.45833333333333331</v>
      </c>
      <c r="K6" s="28">
        <v>0.625</v>
      </c>
      <c r="L6" s="29">
        <f>K6-J6</f>
        <v>0.16666666666666669</v>
      </c>
      <c r="M6" s="31"/>
      <c r="N6" s="125"/>
      <c r="O6" s="126"/>
      <c r="P6" s="34">
        <f>O6-N6</f>
        <v>0</v>
      </c>
      <c r="Q6" s="31"/>
      <c r="R6" s="27"/>
      <c r="S6" s="28"/>
      <c r="T6" s="34">
        <f t="shared" ref="T6:T26" si="2">S6-R6</f>
        <v>0</v>
      </c>
      <c r="U6" s="25"/>
      <c r="V6" s="84"/>
      <c r="W6" s="85"/>
      <c r="X6" s="86">
        <f>W6-V6</f>
        <v>0</v>
      </c>
      <c r="Y6" s="31"/>
      <c r="Z6" s="125"/>
      <c r="AA6" s="126"/>
      <c r="AB6" s="34">
        <f t="shared" ref="AB6:AB41" si="3">AA6-Z6</f>
        <v>0</v>
      </c>
      <c r="AD6" s="46"/>
      <c r="AE6" s="47"/>
      <c r="AF6" s="34">
        <f t="shared" ref="AF6:AF41" si="4">AE6-AD6</f>
        <v>0</v>
      </c>
      <c r="AH6" s="46"/>
      <c r="AI6" s="47"/>
      <c r="AJ6" s="34">
        <f t="shared" ref="AJ6:AJ41" si="5">AI6-AH6</f>
        <v>0</v>
      </c>
      <c r="AL6" s="75"/>
      <c r="AM6" s="75"/>
      <c r="AN6" s="75"/>
      <c r="AO6" s="93"/>
      <c r="AP6" s="75"/>
    </row>
    <row r="7" spans="1:42" ht="12" customHeight="1" x14ac:dyDescent="0.2">
      <c r="A7" s="76"/>
      <c r="B7" s="32">
        <v>0.625</v>
      </c>
      <c r="C7" s="33">
        <v>0.70833333333333337</v>
      </c>
      <c r="D7" s="110">
        <f t="shared" si="0"/>
        <v>8.333333333333337E-2</v>
      </c>
      <c r="E7" s="31"/>
      <c r="F7" s="43"/>
      <c r="G7" s="25"/>
      <c r="H7" s="34">
        <f t="shared" si="1"/>
        <v>0</v>
      </c>
      <c r="I7" s="31"/>
      <c r="J7" s="43"/>
      <c r="K7" s="35"/>
      <c r="L7" s="102"/>
      <c r="M7" s="31"/>
      <c r="N7" s="43"/>
      <c r="O7" s="25"/>
      <c r="P7" s="34">
        <f t="shared" ref="P7:P41" si="6">O7-N7</f>
        <v>0</v>
      </c>
      <c r="Q7" s="31"/>
      <c r="R7" s="24"/>
      <c r="S7" s="25"/>
      <c r="T7" s="34">
        <f t="shared" si="2"/>
        <v>0</v>
      </c>
      <c r="U7" s="25"/>
      <c r="V7" s="44"/>
      <c r="W7" s="45"/>
      <c r="X7" s="88"/>
      <c r="Y7" s="31"/>
      <c r="Z7" s="24"/>
      <c r="AA7" s="25"/>
      <c r="AB7" s="34">
        <f t="shared" si="3"/>
        <v>0</v>
      </c>
      <c r="AD7" s="48"/>
      <c r="AE7" s="31"/>
      <c r="AF7" s="34">
        <f t="shared" si="4"/>
        <v>0</v>
      </c>
      <c r="AH7" s="48"/>
      <c r="AI7" s="31"/>
      <c r="AJ7" s="34">
        <f t="shared" si="5"/>
        <v>0</v>
      </c>
      <c r="AL7" s="75">
        <v>514525</v>
      </c>
      <c r="AM7" s="75" t="s">
        <v>58</v>
      </c>
      <c r="AN7" s="75" t="s">
        <v>45</v>
      </c>
      <c r="AO7" s="93">
        <f>+AA52</f>
        <v>245339.33</v>
      </c>
      <c r="AP7" s="75"/>
    </row>
    <row r="8" spans="1:42" ht="12" customHeight="1" thickBot="1" x14ac:dyDescent="0.25">
      <c r="A8" s="76"/>
      <c r="B8" s="113">
        <v>0.70833333333333337</v>
      </c>
      <c r="C8" s="114">
        <v>0.77083333333333337</v>
      </c>
      <c r="D8" s="104">
        <f t="shared" si="0"/>
        <v>6.25E-2</v>
      </c>
      <c r="E8" s="31"/>
      <c r="F8" s="43"/>
      <c r="G8" s="35"/>
      <c r="H8" s="34">
        <f t="shared" si="1"/>
        <v>0</v>
      </c>
      <c r="I8" s="31"/>
      <c r="J8" s="77"/>
      <c r="K8" s="78"/>
      <c r="L8" s="79">
        <f>K8-J8</f>
        <v>0</v>
      </c>
      <c r="M8" s="31"/>
      <c r="N8" s="24"/>
      <c r="O8" s="25"/>
      <c r="P8" s="34">
        <f t="shared" si="6"/>
        <v>0</v>
      </c>
      <c r="Q8" s="31"/>
      <c r="R8" s="43"/>
      <c r="S8" s="35"/>
      <c r="T8" s="34">
        <f t="shared" si="2"/>
        <v>0</v>
      </c>
      <c r="U8" s="25"/>
      <c r="V8" s="44"/>
      <c r="W8" s="45"/>
      <c r="X8" s="34">
        <f t="shared" ref="X8:X41" si="7">W8-V8</f>
        <v>0</v>
      </c>
      <c r="Y8" s="31"/>
      <c r="Z8" s="24"/>
      <c r="AA8" s="25"/>
      <c r="AB8" s="34">
        <f t="shared" si="3"/>
        <v>0</v>
      </c>
      <c r="AD8" s="48"/>
      <c r="AE8" s="31"/>
      <c r="AF8" s="34">
        <f t="shared" si="4"/>
        <v>0</v>
      </c>
      <c r="AH8" s="111"/>
      <c r="AI8" s="112"/>
      <c r="AJ8" s="34">
        <f t="shared" si="5"/>
        <v>0</v>
      </c>
      <c r="AL8" s="75">
        <v>734525</v>
      </c>
      <c r="AM8" s="75" t="s">
        <v>56</v>
      </c>
      <c r="AN8" s="75" t="s">
        <v>53</v>
      </c>
      <c r="AO8" s="93">
        <f>+W52</f>
        <v>245339.33</v>
      </c>
      <c r="AP8" s="75"/>
    </row>
    <row r="9" spans="1:42" ht="12" customHeight="1" x14ac:dyDescent="0.2">
      <c r="A9" s="76">
        <v>42007</v>
      </c>
      <c r="B9" s="84">
        <v>0.25208333333333333</v>
      </c>
      <c r="C9" s="85">
        <v>0.70833333333333337</v>
      </c>
      <c r="D9" s="103">
        <f t="shared" si="0"/>
        <v>0.45625000000000004</v>
      </c>
      <c r="E9" s="31"/>
      <c r="F9" s="24"/>
      <c r="G9" s="25"/>
      <c r="H9" s="34">
        <f t="shared" si="1"/>
        <v>0</v>
      </c>
      <c r="I9" s="31"/>
      <c r="J9" s="32"/>
      <c r="K9" s="33"/>
      <c r="L9" s="34">
        <f>K9-J9</f>
        <v>0</v>
      </c>
      <c r="M9" s="31"/>
      <c r="N9" s="32"/>
      <c r="O9" s="33"/>
      <c r="P9" s="34">
        <f t="shared" si="6"/>
        <v>0</v>
      </c>
      <c r="Q9" s="31"/>
      <c r="R9" s="44"/>
      <c r="S9" s="45"/>
      <c r="T9" s="34">
        <f t="shared" si="2"/>
        <v>0</v>
      </c>
      <c r="U9" s="25"/>
      <c r="V9" s="44"/>
      <c r="W9" s="45"/>
      <c r="X9" s="34">
        <f t="shared" si="7"/>
        <v>0</v>
      </c>
      <c r="Y9" s="31"/>
      <c r="Z9" s="24"/>
      <c r="AA9" s="25"/>
      <c r="AB9" s="34">
        <f t="shared" si="3"/>
        <v>0</v>
      </c>
      <c r="AD9" s="43"/>
      <c r="AE9" s="35"/>
      <c r="AF9" s="34">
        <f t="shared" si="4"/>
        <v>0</v>
      </c>
      <c r="AH9" s="48"/>
      <c r="AI9" s="31"/>
      <c r="AJ9" s="34">
        <f t="shared" si="5"/>
        <v>0</v>
      </c>
      <c r="AL9" s="75">
        <v>734525</v>
      </c>
      <c r="AM9" s="75" t="s">
        <v>59</v>
      </c>
      <c r="AN9" s="75" t="s">
        <v>54</v>
      </c>
      <c r="AO9" s="93">
        <f>AI52</f>
        <v>245339.33</v>
      </c>
      <c r="AP9" s="75"/>
    </row>
    <row r="10" spans="1:42" ht="12" customHeight="1" thickBot="1" x14ac:dyDescent="0.25">
      <c r="A10" s="76"/>
      <c r="B10" s="37">
        <v>0.70833333333333337</v>
      </c>
      <c r="C10" s="38">
        <v>0.80555555555555547</v>
      </c>
      <c r="D10" s="104">
        <f t="shared" si="0"/>
        <v>9.7222222222222099E-2</v>
      </c>
      <c r="E10" s="31"/>
      <c r="F10" s="24"/>
      <c r="G10" s="25"/>
      <c r="H10" s="34">
        <f t="shared" si="1"/>
        <v>0</v>
      </c>
      <c r="I10" s="31"/>
      <c r="J10" s="32"/>
      <c r="K10" s="33"/>
      <c r="L10" s="34">
        <f>K10-J10</f>
        <v>0</v>
      </c>
      <c r="M10" s="31"/>
      <c r="N10" s="32"/>
      <c r="O10" s="33"/>
      <c r="P10" s="34">
        <f t="shared" si="6"/>
        <v>0</v>
      </c>
      <c r="Q10" s="31"/>
      <c r="R10" s="32"/>
      <c r="S10" s="33"/>
      <c r="T10" s="34">
        <f t="shared" si="2"/>
        <v>0</v>
      </c>
      <c r="U10" s="25"/>
      <c r="V10" s="44"/>
      <c r="W10" s="45"/>
      <c r="X10" s="34">
        <f t="shared" si="7"/>
        <v>0</v>
      </c>
      <c r="Y10" s="31"/>
      <c r="Z10" s="24"/>
      <c r="AA10" s="25"/>
      <c r="AB10" s="34">
        <f t="shared" si="3"/>
        <v>0</v>
      </c>
      <c r="AD10" s="48"/>
      <c r="AE10" s="31"/>
      <c r="AF10" s="34">
        <f t="shared" si="4"/>
        <v>0</v>
      </c>
      <c r="AH10" s="48"/>
      <c r="AI10" s="31"/>
      <c r="AJ10" s="34">
        <f t="shared" si="5"/>
        <v>0</v>
      </c>
      <c r="AL10" s="75">
        <v>734525</v>
      </c>
      <c r="AM10" s="75" t="s">
        <v>60</v>
      </c>
      <c r="AN10" s="75" t="s">
        <v>37</v>
      </c>
      <c r="AO10" s="93">
        <f>+S52</f>
        <v>245339.33</v>
      </c>
      <c r="AP10" s="75"/>
    </row>
    <row r="11" spans="1:42" ht="12" customHeight="1" x14ac:dyDescent="0.2">
      <c r="A11" s="76">
        <v>42009</v>
      </c>
      <c r="B11" s="84">
        <v>0.28402777777777777</v>
      </c>
      <c r="C11" s="85">
        <v>0.5</v>
      </c>
      <c r="D11" s="86">
        <f t="shared" si="0"/>
        <v>0.21597222222222223</v>
      </c>
      <c r="E11" s="25"/>
      <c r="F11" s="27">
        <v>0.5</v>
      </c>
      <c r="G11" s="28">
        <v>0.70833333333333337</v>
      </c>
      <c r="H11" s="86">
        <f t="shared" si="1"/>
        <v>0.20833333333333337</v>
      </c>
      <c r="I11" s="25"/>
      <c r="J11" s="32"/>
      <c r="K11" s="33"/>
      <c r="L11" s="34">
        <f>K11-J11</f>
        <v>0</v>
      </c>
      <c r="M11" s="25"/>
      <c r="N11" s="84">
        <v>0.28194444444444444</v>
      </c>
      <c r="O11" s="85">
        <v>0.45833333333333331</v>
      </c>
      <c r="P11" s="86">
        <f t="shared" si="6"/>
        <v>0.17638888888888887</v>
      </c>
      <c r="Q11" s="31"/>
      <c r="R11" s="32"/>
      <c r="S11" s="33"/>
      <c r="T11" s="34">
        <f t="shared" si="2"/>
        <v>0</v>
      </c>
      <c r="U11" s="25"/>
      <c r="V11" s="24"/>
      <c r="W11" s="25"/>
      <c r="X11" s="34">
        <f t="shared" si="7"/>
        <v>0</v>
      </c>
      <c r="Y11" s="31"/>
      <c r="Z11" s="24"/>
      <c r="AA11" s="25"/>
      <c r="AB11" s="34">
        <f t="shared" si="3"/>
        <v>0</v>
      </c>
      <c r="AD11" s="48"/>
      <c r="AE11" s="31"/>
      <c r="AF11" s="34">
        <f t="shared" si="4"/>
        <v>0</v>
      </c>
      <c r="AH11" s="48"/>
      <c r="AI11" s="31"/>
      <c r="AJ11" s="34">
        <f t="shared" si="5"/>
        <v>0</v>
      </c>
      <c r="AL11" s="75">
        <v>734525</v>
      </c>
      <c r="AM11" s="75" t="s">
        <v>61</v>
      </c>
      <c r="AN11" s="75" t="s">
        <v>33</v>
      </c>
      <c r="AO11" s="93">
        <f>+G52</f>
        <v>245339.33</v>
      </c>
      <c r="AP11" s="75"/>
    </row>
    <row r="12" spans="1:42" ht="12.75" customHeight="1" thickBot="1" x14ac:dyDescent="0.25">
      <c r="A12" s="76"/>
      <c r="B12" s="37">
        <v>0.70833333333333337</v>
      </c>
      <c r="C12" s="38">
        <v>0.84375</v>
      </c>
      <c r="D12" s="39">
        <f t="shared" si="0"/>
        <v>0.13541666666666663</v>
      </c>
      <c r="E12" s="25"/>
      <c r="F12" s="115"/>
      <c r="G12" s="116"/>
      <c r="H12" s="79">
        <f t="shared" si="1"/>
        <v>0</v>
      </c>
      <c r="I12" s="25"/>
      <c r="J12" s="32"/>
      <c r="K12" s="33"/>
      <c r="L12" s="34">
        <f>K12-J12</f>
        <v>0</v>
      </c>
      <c r="M12" s="25"/>
      <c r="N12" s="32">
        <v>0.625</v>
      </c>
      <c r="O12" s="33">
        <v>0.70833333333333337</v>
      </c>
      <c r="P12" s="110">
        <f t="shared" si="6"/>
        <v>8.333333333333337E-2</v>
      </c>
      <c r="Q12" s="31"/>
      <c r="R12" s="32"/>
      <c r="S12" s="33"/>
      <c r="T12" s="34">
        <f t="shared" si="2"/>
        <v>0</v>
      </c>
      <c r="U12" s="25"/>
      <c r="V12" s="24"/>
      <c r="W12" s="25"/>
      <c r="X12" s="34">
        <f t="shared" si="7"/>
        <v>0</v>
      </c>
      <c r="Y12" s="31"/>
      <c r="Z12" s="24"/>
      <c r="AA12" s="25"/>
      <c r="AB12" s="34">
        <f t="shared" si="3"/>
        <v>0</v>
      </c>
      <c r="AC12" s="63"/>
      <c r="AD12" s="82"/>
      <c r="AE12" s="83"/>
      <c r="AF12" s="34">
        <f t="shared" si="4"/>
        <v>0</v>
      </c>
      <c r="AH12" s="48"/>
      <c r="AI12" s="31"/>
      <c r="AJ12" s="34">
        <f t="shared" si="5"/>
        <v>0</v>
      </c>
      <c r="AL12" s="75">
        <v>734525</v>
      </c>
      <c r="AM12" s="75" t="s">
        <v>62</v>
      </c>
      <c r="AN12" s="75" t="s">
        <v>55</v>
      </c>
      <c r="AO12" s="93">
        <f>+AE52</f>
        <v>245339.33</v>
      </c>
      <c r="AP12" s="75"/>
    </row>
    <row r="13" spans="1:42" ht="12" customHeight="1" thickBot="1" x14ac:dyDescent="0.25">
      <c r="A13" s="76">
        <v>42010</v>
      </c>
      <c r="B13" s="84">
        <v>0.27777777777777779</v>
      </c>
      <c r="C13" s="85">
        <v>0.70833333333333337</v>
      </c>
      <c r="D13" s="86">
        <f t="shared" si="0"/>
        <v>0.43055555555555558</v>
      </c>
      <c r="E13" s="25"/>
      <c r="F13" s="43"/>
      <c r="G13" s="35"/>
      <c r="H13" s="34">
        <f t="shared" si="1"/>
        <v>0</v>
      </c>
      <c r="I13" s="25"/>
      <c r="J13" s="44"/>
      <c r="K13" s="45"/>
      <c r="L13" s="88"/>
      <c r="M13" s="25"/>
      <c r="N13" s="113">
        <v>0.70833333333333337</v>
      </c>
      <c r="O13" s="114">
        <v>0.77083333333333337</v>
      </c>
      <c r="P13" s="104">
        <f t="shared" si="6"/>
        <v>6.25E-2</v>
      </c>
      <c r="Q13" s="31"/>
      <c r="R13" s="32"/>
      <c r="S13" s="33"/>
      <c r="T13" s="34">
        <f t="shared" si="2"/>
        <v>0</v>
      </c>
      <c r="U13" s="25"/>
      <c r="V13" s="24"/>
      <c r="W13" s="25"/>
      <c r="X13" s="34">
        <f t="shared" si="7"/>
        <v>0</v>
      </c>
      <c r="Y13" s="31"/>
      <c r="Z13" s="24"/>
      <c r="AA13" s="25"/>
      <c r="AB13" s="34">
        <f t="shared" si="3"/>
        <v>0</v>
      </c>
      <c r="AC13" s="83"/>
      <c r="AD13" s="32"/>
      <c r="AE13" s="33"/>
      <c r="AF13" s="34">
        <f t="shared" si="4"/>
        <v>0</v>
      </c>
      <c r="AH13" s="48"/>
      <c r="AI13" s="31"/>
      <c r="AJ13" s="34">
        <f t="shared" si="5"/>
        <v>0</v>
      </c>
      <c r="AL13" s="75">
        <v>734525</v>
      </c>
      <c r="AM13" s="75" t="s">
        <v>63</v>
      </c>
      <c r="AN13" s="75" t="s">
        <v>34</v>
      </c>
      <c r="AO13" s="93">
        <f>+K52</f>
        <v>245339.33</v>
      </c>
      <c r="AP13" s="75"/>
    </row>
    <row r="14" spans="1:42" ht="12" customHeight="1" thickBot="1" x14ac:dyDescent="0.25">
      <c r="A14" s="76"/>
      <c r="B14" s="37">
        <v>0.70833333333333337</v>
      </c>
      <c r="C14" s="38">
        <v>0.81111111111111101</v>
      </c>
      <c r="D14" s="39">
        <f t="shared" si="0"/>
        <v>0.10277777777777763</v>
      </c>
      <c r="E14" s="25"/>
      <c r="F14" s="24"/>
      <c r="G14" s="25"/>
      <c r="H14" s="34">
        <f t="shared" si="1"/>
        <v>0</v>
      </c>
      <c r="I14" s="25"/>
      <c r="J14" s="43"/>
      <c r="K14" s="35"/>
      <c r="L14" s="34">
        <f>K14-J14</f>
        <v>0</v>
      </c>
      <c r="M14" s="25"/>
      <c r="N14" s="24"/>
      <c r="O14" s="25"/>
      <c r="P14" s="34">
        <f t="shared" si="6"/>
        <v>0</v>
      </c>
      <c r="Q14" s="31"/>
      <c r="R14" s="84">
        <v>0.28194444444444444</v>
      </c>
      <c r="S14" s="85">
        <v>0.5</v>
      </c>
      <c r="T14" s="86">
        <f t="shared" si="2"/>
        <v>0.21805555555555556</v>
      </c>
      <c r="U14" s="25"/>
      <c r="V14" s="24"/>
      <c r="W14" s="25"/>
      <c r="X14" s="34">
        <f t="shared" si="7"/>
        <v>0</v>
      </c>
      <c r="Y14" s="31"/>
      <c r="Z14" s="24"/>
      <c r="AA14" s="25"/>
      <c r="AB14" s="34">
        <f t="shared" si="3"/>
        <v>0</v>
      </c>
      <c r="AC14" s="83"/>
      <c r="AD14" s="84">
        <v>0.27777777777777779</v>
      </c>
      <c r="AE14" s="85">
        <v>0.70833333333333337</v>
      </c>
      <c r="AF14" s="86">
        <f t="shared" si="4"/>
        <v>0.43055555555555558</v>
      </c>
      <c r="AH14" s="48"/>
      <c r="AI14" s="31"/>
      <c r="AJ14" s="34">
        <f t="shared" si="5"/>
        <v>0</v>
      </c>
      <c r="AL14" s="75">
        <v>734525</v>
      </c>
      <c r="AM14" s="75" t="s">
        <v>64</v>
      </c>
      <c r="AN14" s="75" t="s">
        <v>35</v>
      </c>
      <c r="AO14" s="93">
        <f>+O52</f>
        <v>245339.33</v>
      </c>
      <c r="AP14" s="75"/>
    </row>
    <row r="15" spans="1:42" ht="12" customHeight="1" x14ac:dyDescent="0.2">
      <c r="A15" s="76"/>
      <c r="B15" s="132"/>
      <c r="C15" s="133"/>
      <c r="D15" s="134"/>
      <c r="E15" s="25"/>
      <c r="F15" s="24"/>
      <c r="G15" s="25"/>
      <c r="H15" s="34"/>
      <c r="I15" s="25"/>
      <c r="J15" s="43"/>
      <c r="K15" s="35"/>
      <c r="L15" s="34"/>
      <c r="M15" s="25"/>
      <c r="N15" s="24"/>
      <c r="O15" s="25"/>
      <c r="P15" s="34"/>
      <c r="Q15" s="31"/>
      <c r="R15" s="32"/>
      <c r="S15" s="33"/>
      <c r="T15" s="34"/>
      <c r="U15" s="25"/>
      <c r="V15" s="24"/>
      <c r="W15" s="25"/>
      <c r="X15" s="34"/>
      <c r="Y15" s="31"/>
      <c r="Z15" s="24"/>
      <c r="AA15" s="25"/>
      <c r="AB15" s="34"/>
      <c r="AC15" s="83"/>
      <c r="AD15" s="32"/>
      <c r="AE15" s="33"/>
      <c r="AF15" s="34"/>
      <c r="AH15" s="48"/>
      <c r="AI15" s="31"/>
      <c r="AJ15" s="34"/>
      <c r="AL15" s="75"/>
      <c r="AM15" s="20" t="s">
        <v>72</v>
      </c>
      <c r="AN15" s="135"/>
      <c r="AO15" s="93"/>
      <c r="AP15" s="93">
        <f>SUM(AO5+AO7+AO8+AO9+AO10+AO11+AO12+AO13+AO14)</f>
        <v>2208053.9700000002</v>
      </c>
    </row>
    <row r="16" spans="1:42" ht="12" customHeight="1" thickBot="1" x14ac:dyDescent="0.25">
      <c r="A16" s="76"/>
      <c r="B16" s="132"/>
      <c r="C16" s="133"/>
      <c r="D16" s="134"/>
      <c r="E16" s="25"/>
      <c r="F16" s="24"/>
      <c r="G16" s="25"/>
      <c r="H16" s="34"/>
      <c r="I16" s="25"/>
      <c r="J16" s="43"/>
      <c r="K16" s="35"/>
      <c r="L16" s="34"/>
      <c r="M16" s="25"/>
      <c r="N16" s="24"/>
      <c r="O16" s="25"/>
      <c r="P16" s="34"/>
      <c r="Q16" s="31"/>
      <c r="R16" s="32"/>
      <c r="S16" s="33"/>
      <c r="T16" s="34"/>
      <c r="U16" s="25"/>
      <c r="V16" s="24"/>
      <c r="W16" s="25"/>
      <c r="X16" s="34"/>
      <c r="Y16" s="31"/>
      <c r="Z16" s="24"/>
      <c r="AA16" s="25"/>
      <c r="AB16" s="34"/>
      <c r="AC16" s="83"/>
      <c r="AD16" s="32"/>
      <c r="AE16" s="33"/>
      <c r="AF16" s="34"/>
      <c r="AH16" s="48"/>
      <c r="AI16" s="31"/>
      <c r="AJ16" s="34"/>
      <c r="AL16" s="75"/>
      <c r="AM16" s="216" t="s">
        <v>71</v>
      </c>
      <c r="AN16" s="217"/>
      <c r="AO16" s="93"/>
      <c r="AP16" s="93">
        <v>150000</v>
      </c>
    </row>
    <row r="17" spans="1:42" ht="12" customHeight="1" thickBot="1" x14ac:dyDescent="0.25">
      <c r="A17" s="76">
        <v>42011</v>
      </c>
      <c r="B17" s="84">
        <v>0.28194444444444444</v>
      </c>
      <c r="C17" s="85">
        <v>0.5</v>
      </c>
      <c r="D17" s="86">
        <f t="shared" si="0"/>
        <v>0.21805555555555556</v>
      </c>
      <c r="E17" s="25"/>
      <c r="F17" s="43"/>
      <c r="G17" s="35"/>
      <c r="H17" s="34">
        <f t="shared" si="1"/>
        <v>0</v>
      </c>
      <c r="I17" s="25"/>
      <c r="J17" s="43"/>
      <c r="K17" s="35"/>
      <c r="L17" s="34">
        <f>K17-J17</f>
        <v>0</v>
      </c>
      <c r="M17" s="25"/>
      <c r="N17" s="24"/>
      <c r="O17" s="25"/>
      <c r="P17" s="34">
        <f t="shared" si="6"/>
        <v>0</v>
      </c>
      <c r="Q17" s="31"/>
      <c r="R17" s="32">
        <v>0.58333333333333337</v>
      </c>
      <c r="S17" s="33">
        <v>0.70833333333333337</v>
      </c>
      <c r="T17" s="34">
        <f t="shared" si="2"/>
        <v>0.125</v>
      </c>
      <c r="U17" s="25"/>
      <c r="V17" s="24"/>
      <c r="W17" s="25"/>
      <c r="X17" s="34">
        <f t="shared" si="7"/>
        <v>0</v>
      </c>
      <c r="Y17" s="31"/>
      <c r="Z17" s="27">
        <v>0.5</v>
      </c>
      <c r="AA17" s="28">
        <v>0.58333333333333337</v>
      </c>
      <c r="AB17" s="86">
        <f t="shared" si="3"/>
        <v>8.333333333333337E-2</v>
      </c>
      <c r="AC17" s="63"/>
      <c r="AD17" s="37">
        <v>0.70833333333333337</v>
      </c>
      <c r="AE17" s="38">
        <v>0.81111111111111101</v>
      </c>
      <c r="AF17" s="39">
        <f t="shared" si="4"/>
        <v>0.10277777777777763</v>
      </c>
      <c r="AH17" s="48"/>
      <c r="AI17" s="31"/>
      <c r="AJ17" s="34">
        <f t="shared" si="5"/>
        <v>0</v>
      </c>
      <c r="AL17" s="75">
        <v>248080102</v>
      </c>
      <c r="AM17" s="108" t="s">
        <v>69</v>
      </c>
      <c r="AN17" s="109"/>
      <c r="AO17" s="75"/>
      <c r="AP17" s="94">
        <f>SUM(AP15:AP16)*16%</f>
        <v>377288.63520000002</v>
      </c>
    </row>
    <row r="18" spans="1:42" ht="12" customHeight="1" x14ac:dyDescent="0.2">
      <c r="A18" s="76"/>
      <c r="B18" s="32"/>
      <c r="C18" s="33"/>
      <c r="D18" s="34"/>
      <c r="E18" s="25"/>
      <c r="F18" s="43"/>
      <c r="G18" s="35"/>
      <c r="H18" s="34"/>
      <c r="I18" s="25"/>
      <c r="J18" s="43"/>
      <c r="K18" s="35"/>
      <c r="L18" s="34"/>
      <c r="M18" s="25"/>
      <c r="N18" s="24"/>
      <c r="O18" s="25"/>
      <c r="P18" s="34"/>
      <c r="Q18" s="31"/>
      <c r="R18" s="32"/>
      <c r="S18" s="33"/>
      <c r="T18" s="34"/>
      <c r="U18" s="25"/>
      <c r="V18" s="24"/>
      <c r="W18" s="25"/>
      <c r="X18" s="34"/>
      <c r="Y18" s="31"/>
      <c r="Z18" s="43"/>
      <c r="AA18" s="35"/>
      <c r="AB18" s="34"/>
      <c r="AC18" s="63"/>
      <c r="AD18" s="132"/>
      <c r="AE18" s="133"/>
      <c r="AF18" s="134"/>
      <c r="AH18" s="48"/>
      <c r="AI18" s="31"/>
      <c r="AJ18" s="34"/>
      <c r="AL18" s="75"/>
      <c r="AM18" s="108" t="s">
        <v>73</v>
      </c>
      <c r="AN18" s="109"/>
      <c r="AO18" s="75"/>
      <c r="AP18" s="94">
        <f>SUM(AP15:AP17)</f>
        <v>2735342.6052000001</v>
      </c>
    </row>
    <row r="19" spans="1:42" ht="12" customHeight="1" thickBot="1" x14ac:dyDescent="0.25">
      <c r="A19" s="76"/>
      <c r="B19" s="32">
        <v>0.58333333333333337</v>
      </c>
      <c r="C19" s="33">
        <v>0.70833333333333337</v>
      </c>
      <c r="D19" s="34">
        <f t="shared" si="0"/>
        <v>0.125</v>
      </c>
      <c r="E19" s="25"/>
      <c r="F19" s="43"/>
      <c r="G19" s="35"/>
      <c r="H19" s="34">
        <f t="shared" si="1"/>
        <v>0</v>
      </c>
      <c r="I19" s="25"/>
      <c r="J19" s="43"/>
      <c r="K19" s="35"/>
      <c r="L19" s="34">
        <f>K19-J19</f>
        <v>0</v>
      </c>
      <c r="M19" s="25"/>
      <c r="N19" s="24"/>
      <c r="O19" s="25"/>
      <c r="P19" s="34">
        <f t="shared" si="6"/>
        <v>0</v>
      </c>
      <c r="Q19" s="31"/>
      <c r="R19" s="37">
        <v>0.70833333333333337</v>
      </c>
      <c r="S19" s="38">
        <v>0.71180555555555547</v>
      </c>
      <c r="T19" s="39">
        <f t="shared" si="2"/>
        <v>3.4722222222220989E-3</v>
      </c>
      <c r="U19" s="25"/>
      <c r="V19" s="24"/>
      <c r="W19" s="25"/>
      <c r="X19" s="34">
        <f t="shared" si="7"/>
        <v>0</v>
      </c>
      <c r="Y19" s="31"/>
      <c r="Z19" s="24"/>
      <c r="AA19" s="25"/>
      <c r="AB19" s="34">
        <f t="shared" si="3"/>
        <v>0</v>
      </c>
      <c r="AC19" s="63"/>
      <c r="AD19" s="95"/>
      <c r="AE19" s="96"/>
      <c r="AF19" s="34">
        <f t="shared" si="4"/>
        <v>0</v>
      </c>
      <c r="AH19" s="48"/>
      <c r="AI19" s="31"/>
      <c r="AJ19" s="34">
        <f t="shared" si="5"/>
        <v>0</v>
      </c>
      <c r="AL19" s="75">
        <v>23652501</v>
      </c>
      <c r="AM19" s="108" t="s">
        <v>65</v>
      </c>
      <c r="AN19" s="109"/>
      <c r="AO19" s="75"/>
      <c r="AP19" s="93">
        <f>SUM(AO5:AO14)*4%</f>
        <v>88322.158800000005</v>
      </c>
    </row>
    <row r="20" spans="1:42" ht="12" customHeight="1" thickBot="1" x14ac:dyDescent="0.25">
      <c r="A20" s="76"/>
      <c r="B20" s="37">
        <v>0.70833333333333337</v>
      </c>
      <c r="C20" s="38">
        <v>0.71180555555555547</v>
      </c>
      <c r="D20" s="39">
        <f t="shared" si="0"/>
        <v>3.4722222222220989E-3</v>
      </c>
      <c r="E20" s="25"/>
      <c r="F20" s="24"/>
      <c r="G20" s="25"/>
      <c r="H20" s="34">
        <f t="shared" si="1"/>
        <v>0</v>
      </c>
      <c r="I20" s="25"/>
      <c r="J20" s="24"/>
      <c r="K20" s="25"/>
      <c r="L20" s="26"/>
      <c r="M20" s="25"/>
      <c r="N20" s="24"/>
      <c r="O20" s="25"/>
      <c r="P20" s="34">
        <f t="shared" si="6"/>
        <v>0</v>
      </c>
      <c r="Q20" s="31"/>
      <c r="R20" s="32"/>
      <c r="S20" s="33"/>
      <c r="T20" s="34">
        <f t="shared" si="2"/>
        <v>0</v>
      </c>
      <c r="U20" s="25"/>
      <c r="V20" s="24"/>
      <c r="W20" s="25"/>
      <c r="X20" s="34">
        <f t="shared" si="7"/>
        <v>0</v>
      </c>
      <c r="Y20" s="31"/>
      <c r="Z20" s="40"/>
      <c r="AA20" s="41"/>
      <c r="AB20" s="79">
        <f t="shared" si="3"/>
        <v>0</v>
      </c>
      <c r="AC20" s="63"/>
      <c r="AD20" s="95"/>
      <c r="AE20" s="96"/>
      <c r="AF20" s="34">
        <f t="shared" si="4"/>
        <v>0</v>
      </c>
      <c r="AH20" s="48"/>
      <c r="AI20" s="31"/>
      <c r="AJ20" s="34">
        <f t="shared" si="5"/>
        <v>0</v>
      </c>
      <c r="AL20" s="75">
        <v>23680501</v>
      </c>
      <c r="AM20" s="136" t="s">
        <v>70</v>
      </c>
      <c r="AN20" s="137"/>
      <c r="AO20" s="75"/>
      <c r="AP20" s="93">
        <f>SUM(AO5:AO14)*8/1000</f>
        <v>17664.431760000003</v>
      </c>
    </row>
    <row r="21" spans="1:42" ht="12" customHeight="1" thickBot="1" x14ac:dyDescent="0.25">
      <c r="A21" s="76">
        <v>42012</v>
      </c>
      <c r="B21" s="84">
        <v>0.29166666666666669</v>
      </c>
      <c r="C21" s="85">
        <v>0.70833333333333337</v>
      </c>
      <c r="D21" s="86">
        <f t="shared" si="0"/>
        <v>0.41666666666666669</v>
      </c>
      <c r="E21" s="25"/>
      <c r="F21" s="24"/>
      <c r="G21" s="25"/>
      <c r="H21" s="34">
        <f t="shared" si="1"/>
        <v>0</v>
      </c>
      <c r="I21" s="25"/>
      <c r="J21" s="43"/>
      <c r="K21" s="35"/>
      <c r="L21" s="34">
        <f>K21-J21</f>
        <v>0</v>
      </c>
      <c r="M21" s="25"/>
      <c r="N21" s="24"/>
      <c r="O21" s="25"/>
      <c r="P21" s="34">
        <f t="shared" si="6"/>
        <v>0</v>
      </c>
      <c r="Q21" s="31"/>
      <c r="R21" s="32"/>
      <c r="S21" s="33"/>
      <c r="T21" s="34">
        <f t="shared" si="2"/>
        <v>0</v>
      </c>
      <c r="U21" s="25"/>
      <c r="V21" s="24"/>
      <c r="W21" s="25"/>
      <c r="X21" s="34">
        <f t="shared" si="7"/>
        <v>0</v>
      </c>
      <c r="Y21" s="31"/>
      <c r="Z21" s="24"/>
      <c r="AA21" s="25"/>
      <c r="AB21" s="34">
        <f t="shared" si="3"/>
        <v>0</v>
      </c>
      <c r="AC21" s="63"/>
      <c r="AD21" s="95"/>
      <c r="AE21" s="96"/>
      <c r="AF21" s="34">
        <f t="shared" si="4"/>
        <v>0</v>
      </c>
      <c r="AH21" s="84">
        <v>0.29166666666666669</v>
      </c>
      <c r="AI21" s="85">
        <v>0.70833333333333337</v>
      </c>
      <c r="AJ21" s="86">
        <f t="shared" si="5"/>
        <v>0.41666666666666669</v>
      </c>
      <c r="AL21" s="75">
        <v>33595</v>
      </c>
      <c r="AM21" s="136" t="s">
        <v>66</v>
      </c>
      <c r="AN21" s="137"/>
      <c r="AO21" s="75"/>
      <c r="AP21" s="93">
        <f>SUM(AO5:AO14)+AP17-AP19-AP20</f>
        <v>2479356.0146400002</v>
      </c>
    </row>
    <row r="22" spans="1:42" ht="12" customHeight="1" thickBot="1" x14ac:dyDescent="0.25">
      <c r="A22" s="76"/>
      <c r="B22" s="37">
        <v>0.70833333333333337</v>
      </c>
      <c r="C22" s="38">
        <v>0.79166666666666663</v>
      </c>
      <c r="D22" s="39">
        <f t="shared" si="0"/>
        <v>8.3333333333333259E-2</v>
      </c>
      <c r="E22" s="25"/>
      <c r="F22" s="24"/>
      <c r="G22" s="25"/>
      <c r="H22" s="34">
        <f t="shared" si="1"/>
        <v>0</v>
      </c>
      <c r="I22" s="25"/>
      <c r="J22" s="24"/>
      <c r="K22" s="25"/>
      <c r="L22" s="34">
        <f>K22-J22</f>
        <v>0</v>
      </c>
      <c r="M22" s="25"/>
      <c r="N22" s="24"/>
      <c r="O22" s="25"/>
      <c r="P22" s="34">
        <f t="shared" si="6"/>
        <v>0</v>
      </c>
      <c r="Q22" s="31"/>
      <c r="R22" s="32"/>
      <c r="S22" s="33"/>
      <c r="T22" s="34">
        <f t="shared" si="2"/>
        <v>0</v>
      </c>
      <c r="U22" s="25"/>
      <c r="V22" s="84">
        <v>0.29166666666666669</v>
      </c>
      <c r="W22" s="85">
        <v>0.70833333333333337</v>
      </c>
      <c r="X22" s="86">
        <f>W22-V22</f>
        <v>0.41666666666666669</v>
      </c>
      <c r="Y22" s="31"/>
      <c r="Z22" s="24"/>
      <c r="AA22" s="25"/>
      <c r="AB22" s="34">
        <f t="shared" si="3"/>
        <v>0</v>
      </c>
      <c r="AC22" s="63"/>
      <c r="AD22" s="95"/>
      <c r="AE22" s="96"/>
      <c r="AF22" s="34">
        <f t="shared" si="4"/>
        <v>0</v>
      </c>
      <c r="AH22" s="37">
        <v>0.70833333333333337</v>
      </c>
      <c r="AI22" s="38">
        <v>0.79166666666666663</v>
      </c>
      <c r="AJ22" s="39">
        <f t="shared" si="5"/>
        <v>8.3333333333333259E-2</v>
      </c>
    </row>
    <row r="23" spans="1:42" ht="12" customHeight="1" thickBot="1" x14ac:dyDescent="0.25">
      <c r="A23" s="76">
        <v>42013</v>
      </c>
      <c r="B23" s="84">
        <v>0.29166666666666669</v>
      </c>
      <c r="C23" s="85">
        <v>0.70833333333333337</v>
      </c>
      <c r="D23" s="86">
        <f t="shared" si="0"/>
        <v>0.41666666666666669</v>
      </c>
      <c r="E23" s="25"/>
      <c r="F23" s="24"/>
      <c r="G23" s="25"/>
      <c r="H23" s="34">
        <f t="shared" si="1"/>
        <v>0</v>
      </c>
      <c r="I23" s="25"/>
      <c r="J23" s="43"/>
      <c r="K23" s="35"/>
      <c r="L23" s="34">
        <f>K23-J23</f>
        <v>0</v>
      </c>
      <c r="M23" s="25"/>
      <c r="N23" s="24"/>
      <c r="O23" s="25"/>
      <c r="P23" s="34">
        <f t="shared" si="6"/>
        <v>0</v>
      </c>
      <c r="Q23" s="31"/>
      <c r="R23" s="32"/>
      <c r="S23" s="33"/>
      <c r="T23" s="34">
        <f t="shared" si="2"/>
        <v>0</v>
      </c>
      <c r="U23" s="25"/>
      <c r="V23" s="37">
        <v>0.70833333333333337</v>
      </c>
      <c r="W23" s="38">
        <v>0.79166666666666663</v>
      </c>
      <c r="X23" s="39">
        <f>W23-V23</f>
        <v>8.3333333333333259E-2</v>
      </c>
      <c r="Y23" s="31"/>
      <c r="Z23" s="24"/>
      <c r="AA23" s="25"/>
      <c r="AB23" s="34">
        <f t="shared" si="3"/>
        <v>0</v>
      </c>
      <c r="AD23" s="82"/>
      <c r="AE23" s="83"/>
      <c r="AF23" s="34">
        <f t="shared" si="4"/>
        <v>0</v>
      </c>
      <c r="AH23" s="48"/>
      <c r="AI23" s="31"/>
      <c r="AJ23" s="34">
        <f t="shared" si="5"/>
        <v>0</v>
      </c>
      <c r="AL23" s="123"/>
      <c r="AM23" s="122"/>
      <c r="AN23" s="122"/>
      <c r="AO23" s="123"/>
      <c r="AP23" s="124"/>
    </row>
    <row r="24" spans="1:42" ht="12" customHeight="1" thickBot="1" x14ac:dyDescent="0.25">
      <c r="A24" s="76"/>
      <c r="B24" s="37">
        <v>0.70833333333333337</v>
      </c>
      <c r="C24" s="38">
        <v>0.79166666666666663</v>
      </c>
      <c r="D24" s="39">
        <f t="shared" si="0"/>
        <v>8.3333333333333259E-2</v>
      </c>
      <c r="E24" s="25"/>
      <c r="F24" s="43"/>
      <c r="G24" s="35"/>
      <c r="H24" s="34">
        <f t="shared" si="1"/>
        <v>0</v>
      </c>
      <c r="I24" s="25"/>
      <c r="J24" s="24"/>
      <c r="K24" s="25"/>
      <c r="L24" s="26"/>
      <c r="M24" s="25"/>
      <c r="N24" s="24"/>
      <c r="O24" s="25"/>
      <c r="P24" s="34">
        <f t="shared" si="6"/>
        <v>0</v>
      </c>
      <c r="Q24" s="31"/>
      <c r="R24" s="32"/>
      <c r="S24" s="33"/>
      <c r="T24" s="34">
        <f t="shared" si="2"/>
        <v>0</v>
      </c>
      <c r="U24" s="25"/>
      <c r="V24" s="24"/>
      <c r="W24" s="25"/>
      <c r="X24" s="34">
        <f t="shared" si="7"/>
        <v>0</v>
      </c>
      <c r="Y24" s="31"/>
      <c r="Z24" s="24"/>
      <c r="AA24" s="25"/>
      <c r="AB24" s="34">
        <f t="shared" si="3"/>
        <v>0</v>
      </c>
      <c r="AD24" s="32"/>
      <c r="AE24" s="33"/>
      <c r="AF24" s="34">
        <f t="shared" si="4"/>
        <v>0</v>
      </c>
      <c r="AH24" s="48"/>
      <c r="AI24" s="31"/>
      <c r="AJ24" s="34">
        <f t="shared" si="5"/>
        <v>0</v>
      </c>
      <c r="AM24" s="122"/>
    </row>
    <row r="25" spans="1:42" ht="12" customHeight="1" x14ac:dyDescent="0.2">
      <c r="A25" s="76">
        <v>42014</v>
      </c>
      <c r="B25" s="84">
        <v>0.29166666666666669</v>
      </c>
      <c r="C25" s="85">
        <v>0.70833333333333337</v>
      </c>
      <c r="D25" s="86">
        <f>C25-B25</f>
        <v>0.41666666666666669</v>
      </c>
      <c r="E25" s="25"/>
      <c r="F25" s="43"/>
      <c r="G25" s="35"/>
      <c r="H25" s="34">
        <f>G25-F25</f>
        <v>0</v>
      </c>
      <c r="I25" s="25"/>
      <c r="J25" s="24"/>
      <c r="K25" s="25"/>
      <c r="L25" s="34">
        <f t="shared" ref="L25:L41" si="8">K25-J25</f>
        <v>0</v>
      </c>
      <c r="M25" s="25"/>
      <c r="N25" s="24"/>
      <c r="O25" s="25"/>
      <c r="P25" s="34">
        <f t="shared" si="6"/>
        <v>0</v>
      </c>
      <c r="Q25" s="31"/>
      <c r="R25" s="44"/>
      <c r="S25" s="45"/>
      <c r="T25" s="34">
        <f t="shared" si="2"/>
        <v>0</v>
      </c>
      <c r="U25" s="25"/>
      <c r="V25" s="24"/>
      <c r="W25" s="25"/>
      <c r="X25" s="34">
        <f t="shared" si="7"/>
        <v>0</v>
      </c>
      <c r="Y25" s="31"/>
      <c r="Z25" s="24"/>
      <c r="AA25" s="25"/>
      <c r="AB25" s="34">
        <f t="shared" si="3"/>
        <v>0</v>
      </c>
      <c r="AD25" s="48"/>
      <c r="AE25" s="31"/>
      <c r="AF25" s="34">
        <f t="shared" si="4"/>
        <v>0</v>
      </c>
      <c r="AH25" s="48"/>
      <c r="AI25" s="31"/>
      <c r="AJ25" s="34">
        <f t="shared" si="5"/>
        <v>0</v>
      </c>
      <c r="AM25" s="122"/>
      <c r="AN25" s="122"/>
      <c r="AO25" s="123"/>
    </row>
    <row r="26" spans="1:42" ht="12" customHeight="1" thickBot="1" x14ac:dyDescent="0.25">
      <c r="A26" s="76"/>
      <c r="B26" s="37">
        <v>0.70833333333333337</v>
      </c>
      <c r="C26" s="38">
        <v>0.79166666666666663</v>
      </c>
      <c r="D26" s="39">
        <f>C26-B26</f>
        <v>8.3333333333333259E-2</v>
      </c>
      <c r="E26" s="25"/>
      <c r="F26" s="24"/>
      <c r="G26" s="25"/>
      <c r="H26" s="34">
        <f t="shared" ref="H26:H42" si="9">G26-F26</f>
        <v>0</v>
      </c>
      <c r="I26" s="25"/>
      <c r="J26" s="43"/>
      <c r="K26" s="35"/>
      <c r="L26" s="34">
        <f t="shared" si="8"/>
        <v>0</v>
      </c>
      <c r="M26" s="25"/>
      <c r="N26" s="24"/>
      <c r="O26" s="25"/>
      <c r="P26" s="34">
        <f t="shared" si="6"/>
        <v>0</v>
      </c>
      <c r="Q26" s="31"/>
      <c r="R26" s="44"/>
      <c r="S26" s="45"/>
      <c r="T26" s="34">
        <f t="shared" si="2"/>
        <v>0</v>
      </c>
      <c r="U26" s="25"/>
      <c r="V26" s="24"/>
      <c r="W26" s="25"/>
      <c r="X26" s="34">
        <f t="shared" si="7"/>
        <v>0</v>
      </c>
      <c r="Y26" s="31"/>
      <c r="Z26" s="24"/>
      <c r="AA26" s="25"/>
      <c r="AB26" s="34">
        <f t="shared" si="3"/>
        <v>0</v>
      </c>
      <c r="AD26" s="48"/>
      <c r="AE26" s="31"/>
      <c r="AF26" s="34">
        <f t="shared" si="4"/>
        <v>0</v>
      </c>
      <c r="AH26" s="48"/>
      <c r="AI26" s="31"/>
      <c r="AJ26" s="34">
        <f t="shared" si="5"/>
        <v>0</v>
      </c>
      <c r="AM26" s="122"/>
      <c r="AN26" s="122"/>
      <c r="AO26" s="123"/>
    </row>
    <row r="27" spans="1:42" ht="12" customHeight="1" x14ac:dyDescent="0.2">
      <c r="A27" s="76">
        <v>42017</v>
      </c>
      <c r="B27" s="84">
        <v>0.29166666666666669</v>
      </c>
      <c r="C27" s="85">
        <v>0.70833333333333337</v>
      </c>
      <c r="D27" s="86">
        <f>C27-B27</f>
        <v>0.41666666666666669</v>
      </c>
      <c r="E27" s="25"/>
      <c r="F27" s="43"/>
      <c r="G27" s="35"/>
      <c r="H27" s="34">
        <f t="shared" si="9"/>
        <v>0</v>
      </c>
      <c r="I27" s="25"/>
      <c r="J27" s="24"/>
      <c r="K27" s="25"/>
      <c r="L27" s="34">
        <f t="shared" si="8"/>
        <v>0</v>
      </c>
      <c r="M27" s="25"/>
      <c r="N27" s="24"/>
      <c r="O27" s="25"/>
      <c r="P27" s="34">
        <f t="shared" si="6"/>
        <v>0</v>
      </c>
      <c r="Q27" s="31"/>
      <c r="R27" s="32"/>
      <c r="S27" s="33"/>
      <c r="T27" s="34">
        <f>S27-R27</f>
        <v>0</v>
      </c>
      <c r="U27" s="25"/>
      <c r="V27" s="24"/>
      <c r="W27" s="25"/>
      <c r="X27" s="34">
        <f t="shared" si="7"/>
        <v>0</v>
      </c>
      <c r="Y27" s="31"/>
      <c r="Z27" s="24"/>
      <c r="AA27" s="25"/>
      <c r="AB27" s="34">
        <f t="shared" si="3"/>
        <v>0</v>
      </c>
      <c r="AC27" s="31"/>
      <c r="AD27" s="48"/>
      <c r="AE27" s="31"/>
      <c r="AF27" s="34">
        <f t="shared" si="4"/>
        <v>0</v>
      </c>
      <c r="AH27" s="48"/>
      <c r="AI27" s="31"/>
      <c r="AJ27" s="34">
        <f t="shared" si="5"/>
        <v>0</v>
      </c>
      <c r="AN27" s="122"/>
      <c r="AO27" s="123"/>
    </row>
    <row r="28" spans="1:42" ht="12" customHeight="1" thickBot="1" x14ac:dyDescent="0.25">
      <c r="A28" s="76"/>
      <c r="B28" s="37">
        <v>0.70833333333333337</v>
      </c>
      <c r="C28" s="38">
        <v>0.79166666666666663</v>
      </c>
      <c r="D28" s="39">
        <f t="shared" si="0"/>
        <v>8.3333333333333259E-2</v>
      </c>
      <c r="E28" s="25"/>
      <c r="F28" s="32"/>
      <c r="G28" s="33"/>
      <c r="H28" s="34">
        <f t="shared" si="9"/>
        <v>0</v>
      </c>
      <c r="I28" s="25"/>
      <c r="J28" s="24"/>
      <c r="K28" s="25"/>
      <c r="L28" s="34">
        <f t="shared" si="8"/>
        <v>0</v>
      </c>
      <c r="M28" s="25"/>
      <c r="N28" s="24"/>
      <c r="O28" s="25"/>
      <c r="P28" s="34">
        <f t="shared" si="6"/>
        <v>0</v>
      </c>
      <c r="Q28" s="31"/>
      <c r="R28" s="44"/>
      <c r="S28" s="45"/>
      <c r="T28" s="88"/>
      <c r="U28" s="25"/>
      <c r="V28" s="24"/>
      <c r="W28" s="25"/>
      <c r="X28" s="34">
        <f t="shared" si="7"/>
        <v>0</v>
      </c>
      <c r="Y28" s="31"/>
      <c r="Z28" s="24"/>
      <c r="AA28" s="25"/>
      <c r="AB28" s="34">
        <f t="shared" si="3"/>
        <v>0</v>
      </c>
      <c r="AD28" s="48"/>
      <c r="AE28" s="31"/>
      <c r="AF28" s="34">
        <f t="shared" si="4"/>
        <v>0</v>
      </c>
      <c r="AH28" s="48"/>
      <c r="AI28" s="31"/>
      <c r="AJ28" s="34">
        <f t="shared" si="5"/>
        <v>0</v>
      </c>
      <c r="AN28" s="122"/>
      <c r="AO28" s="123"/>
    </row>
    <row r="29" spans="1:42" ht="12" customHeight="1" x14ac:dyDescent="0.2">
      <c r="A29" s="76">
        <v>42018</v>
      </c>
      <c r="B29" s="84">
        <v>0.29166666666666669</v>
      </c>
      <c r="C29" s="85">
        <v>0.70833333333333337</v>
      </c>
      <c r="D29" s="86">
        <f t="shared" si="0"/>
        <v>0.41666666666666669</v>
      </c>
      <c r="E29" s="25"/>
      <c r="F29" s="24"/>
      <c r="G29" s="25"/>
      <c r="H29" s="34">
        <f t="shared" si="9"/>
        <v>0</v>
      </c>
      <c r="I29" s="25"/>
      <c r="J29" s="24"/>
      <c r="K29" s="25"/>
      <c r="L29" s="34">
        <f t="shared" si="8"/>
        <v>0</v>
      </c>
      <c r="M29" s="25"/>
      <c r="N29" s="24"/>
      <c r="O29" s="25"/>
      <c r="P29" s="34">
        <f t="shared" si="6"/>
        <v>0</v>
      </c>
      <c r="Q29" s="31"/>
      <c r="R29" s="32"/>
      <c r="S29" s="33"/>
      <c r="T29" s="34">
        <f t="shared" ref="T29:T41" si="10">S29-R29</f>
        <v>0</v>
      </c>
      <c r="U29" s="25"/>
      <c r="V29" s="24"/>
      <c r="W29" s="25"/>
      <c r="X29" s="34">
        <f t="shared" si="7"/>
        <v>0</v>
      </c>
      <c r="Y29" s="31"/>
      <c r="Z29" s="24"/>
      <c r="AA29" s="25"/>
      <c r="AB29" s="34">
        <f t="shared" si="3"/>
        <v>0</v>
      </c>
      <c r="AC29" s="31"/>
      <c r="AD29" s="48"/>
      <c r="AE29" s="31"/>
      <c r="AF29" s="34">
        <f t="shared" si="4"/>
        <v>0</v>
      </c>
      <c r="AH29" s="48"/>
      <c r="AI29" s="31"/>
      <c r="AJ29" s="34">
        <f t="shared" si="5"/>
        <v>0</v>
      </c>
      <c r="AN29" s="122"/>
      <c r="AO29" s="123"/>
    </row>
    <row r="30" spans="1:42" ht="12" customHeight="1" thickBot="1" x14ac:dyDescent="0.25">
      <c r="A30" s="76"/>
      <c r="B30" s="37">
        <v>0.70833333333333337</v>
      </c>
      <c r="C30" s="38">
        <v>0.79166666666666663</v>
      </c>
      <c r="D30" s="39">
        <f t="shared" si="0"/>
        <v>8.3333333333333259E-2</v>
      </c>
      <c r="E30" s="25"/>
      <c r="F30" s="43"/>
      <c r="G30" s="35"/>
      <c r="H30" s="34">
        <f t="shared" si="9"/>
        <v>0</v>
      </c>
      <c r="I30" s="25"/>
      <c r="J30" s="43"/>
      <c r="K30" s="35"/>
      <c r="L30" s="34">
        <f t="shared" si="8"/>
        <v>0</v>
      </c>
      <c r="M30" s="25"/>
      <c r="N30" s="43"/>
      <c r="O30" s="35"/>
      <c r="P30" s="34">
        <f t="shared" si="6"/>
        <v>0</v>
      </c>
      <c r="Q30" s="31"/>
      <c r="R30" s="32"/>
      <c r="S30" s="33"/>
      <c r="T30" s="34">
        <f t="shared" si="10"/>
        <v>0</v>
      </c>
      <c r="U30" s="25"/>
      <c r="V30" s="48"/>
      <c r="W30" s="31"/>
      <c r="X30" s="34">
        <f t="shared" si="7"/>
        <v>0</v>
      </c>
      <c r="Y30" s="31"/>
      <c r="Z30" s="48"/>
      <c r="AA30" s="31"/>
      <c r="AB30" s="34">
        <f t="shared" si="3"/>
        <v>0</v>
      </c>
      <c r="AD30" s="48"/>
      <c r="AE30" s="31"/>
      <c r="AF30" s="34">
        <f t="shared" si="4"/>
        <v>0</v>
      </c>
      <c r="AH30" s="48"/>
      <c r="AI30" s="31"/>
      <c r="AJ30" s="34">
        <f t="shared" si="5"/>
        <v>0</v>
      </c>
      <c r="AN30" s="122"/>
      <c r="AO30" s="123"/>
    </row>
    <row r="31" spans="1:42" ht="12" customHeight="1" x14ac:dyDescent="0.2">
      <c r="A31" s="76">
        <v>42019</v>
      </c>
      <c r="B31" s="84">
        <v>0.29166666666666669</v>
      </c>
      <c r="C31" s="85">
        <v>0.70833333333333337</v>
      </c>
      <c r="D31" s="86">
        <f t="shared" si="0"/>
        <v>0.41666666666666669</v>
      </c>
      <c r="E31" s="25"/>
      <c r="F31" s="24"/>
      <c r="G31" s="25"/>
      <c r="H31" s="34">
        <f t="shared" si="9"/>
        <v>0</v>
      </c>
      <c r="I31" s="25"/>
      <c r="J31" s="24"/>
      <c r="K31" s="25"/>
      <c r="L31" s="34">
        <f t="shared" si="8"/>
        <v>0</v>
      </c>
      <c r="M31" s="25"/>
      <c r="N31" s="24"/>
      <c r="O31" s="25"/>
      <c r="P31" s="34">
        <f t="shared" si="6"/>
        <v>0</v>
      </c>
      <c r="Q31" s="31"/>
      <c r="R31" s="44"/>
      <c r="S31" s="45"/>
      <c r="T31" s="34">
        <f t="shared" si="10"/>
        <v>0</v>
      </c>
      <c r="U31" s="25"/>
      <c r="V31" s="48"/>
      <c r="W31" s="31"/>
      <c r="X31" s="34">
        <f t="shared" si="7"/>
        <v>0</v>
      </c>
      <c r="Y31" s="31"/>
      <c r="Z31" s="48"/>
      <c r="AA31" s="31"/>
      <c r="AB31" s="34">
        <f t="shared" si="3"/>
        <v>0</v>
      </c>
      <c r="AD31" s="48"/>
      <c r="AE31" s="31"/>
      <c r="AF31" s="34">
        <f t="shared" si="4"/>
        <v>0</v>
      </c>
      <c r="AH31" s="48"/>
      <c r="AI31" s="31"/>
      <c r="AJ31" s="34">
        <f t="shared" si="5"/>
        <v>0</v>
      </c>
      <c r="AN31" s="122"/>
      <c r="AO31" s="123"/>
    </row>
    <row r="32" spans="1:42" ht="12" customHeight="1" thickBot="1" x14ac:dyDescent="0.25">
      <c r="A32" s="76"/>
      <c r="B32" s="37">
        <v>0.70833333333333337</v>
      </c>
      <c r="C32" s="38">
        <v>0.79166666666666663</v>
      </c>
      <c r="D32" s="39">
        <f t="shared" si="0"/>
        <v>8.3333333333333259E-2</v>
      </c>
      <c r="E32" s="25"/>
      <c r="F32" s="24"/>
      <c r="G32" s="25"/>
      <c r="H32" s="34">
        <f t="shared" si="9"/>
        <v>0</v>
      </c>
      <c r="I32" s="25"/>
      <c r="J32" s="24"/>
      <c r="K32" s="25"/>
      <c r="L32" s="34">
        <f t="shared" si="8"/>
        <v>0</v>
      </c>
      <c r="M32" s="25"/>
      <c r="N32" s="24"/>
      <c r="O32" s="25"/>
      <c r="P32" s="34">
        <f t="shared" si="6"/>
        <v>0</v>
      </c>
      <c r="Q32" s="31"/>
      <c r="R32" s="24"/>
      <c r="S32" s="25"/>
      <c r="T32" s="34">
        <f t="shared" si="10"/>
        <v>0</v>
      </c>
      <c r="U32" s="25"/>
      <c r="V32" s="48"/>
      <c r="W32" s="31"/>
      <c r="X32" s="34">
        <f t="shared" si="7"/>
        <v>0</v>
      </c>
      <c r="Y32" s="31"/>
      <c r="Z32" s="48"/>
      <c r="AA32" s="31"/>
      <c r="AB32" s="34">
        <f t="shared" si="3"/>
        <v>0</v>
      </c>
      <c r="AC32" s="31"/>
      <c r="AD32" s="48"/>
      <c r="AE32" s="31"/>
      <c r="AF32" s="34">
        <f t="shared" si="4"/>
        <v>0</v>
      </c>
      <c r="AH32" s="48"/>
      <c r="AI32" s="31"/>
      <c r="AJ32" s="34">
        <f t="shared" si="5"/>
        <v>0</v>
      </c>
      <c r="AN32" s="122"/>
      <c r="AO32" s="123"/>
    </row>
    <row r="33" spans="1:41" ht="12" customHeight="1" x14ac:dyDescent="0.2">
      <c r="A33" s="131"/>
      <c r="B33" s="32">
        <v>0.29166666666666669</v>
      </c>
      <c r="C33" s="33">
        <v>0.70833333333333337</v>
      </c>
      <c r="D33" s="34">
        <f t="shared" si="0"/>
        <v>0.41666666666666669</v>
      </c>
      <c r="E33" s="25"/>
      <c r="F33" s="43"/>
      <c r="G33" s="35"/>
      <c r="H33" s="34">
        <f t="shared" si="9"/>
        <v>0</v>
      </c>
      <c r="I33" s="25"/>
      <c r="J33" s="43"/>
      <c r="K33" s="35"/>
      <c r="L33" s="34">
        <f t="shared" si="8"/>
        <v>0</v>
      </c>
      <c r="M33" s="25"/>
      <c r="N33" s="43"/>
      <c r="O33" s="35"/>
      <c r="P33" s="34">
        <f t="shared" si="6"/>
        <v>0</v>
      </c>
      <c r="Q33" s="25"/>
      <c r="R33" s="24"/>
      <c r="S33" s="25"/>
      <c r="T33" s="34">
        <f t="shared" si="10"/>
        <v>0</v>
      </c>
      <c r="U33" s="25"/>
      <c r="V33" s="24"/>
      <c r="W33" s="25"/>
      <c r="X33" s="34">
        <f t="shared" si="7"/>
        <v>0</v>
      </c>
      <c r="Y33" s="31"/>
      <c r="Z33" s="24"/>
      <c r="AA33" s="25"/>
      <c r="AB33" s="34">
        <f t="shared" si="3"/>
        <v>0</v>
      </c>
      <c r="AD33" s="48"/>
      <c r="AE33" s="31"/>
      <c r="AF33" s="34">
        <f t="shared" si="4"/>
        <v>0</v>
      </c>
      <c r="AH33" s="48"/>
      <c r="AI33" s="31"/>
      <c r="AJ33" s="34">
        <f t="shared" si="5"/>
        <v>0</v>
      </c>
      <c r="AO33" s="123"/>
    </row>
    <row r="34" spans="1:41" ht="12" customHeight="1" x14ac:dyDescent="0.2">
      <c r="A34" s="205"/>
      <c r="B34" s="32"/>
      <c r="C34" s="33"/>
      <c r="D34" s="34">
        <f t="shared" si="0"/>
        <v>0</v>
      </c>
      <c r="E34" s="25"/>
      <c r="F34" s="24"/>
      <c r="G34" s="25"/>
      <c r="H34" s="34">
        <f t="shared" si="9"/>
        <v>0</v>
      </c>
      <c r="I34" s="25"/>
      <c r="J34" s="24"/>
      <c r="K34" s="25"/>
      <c r="L34" s="34">
        <f t="shared" si="8"/>
        <v>0</v>
      </c>
      <c r="M34" s="25"/>
      <c r="N34" s="24"/>
      <c r="O34" s="25"/>
      <c r="P34" s="34">
        <f t="shared" si="6"/>
        <v>0</v>
      </c>
      <c r="Q34" s="25"/>
      <c r="R34" s="24"/>
      <c r="S34" s="25"/>
      <c r="T34" s="34">
        <f t="shared" si="10"/>
        <v>0</v>
      </c>
      <c r="U34" s="25"/>
      <c r="V34" s="24"/>
      <c r="W34" s="25"/>
      <c r="X34" s="34">
        <f t="shared" si="7"/>
        <v>0</v>
      </c>
      <c r="Y34" s="31"/>
      <c r="Z34" s="24"/>
      <c r="AA34" s="25"/>
      <c r="AB34" s="34">
        <f t="shared" si="3"/>
        <v>0</v>
      </c>
      <c r="AC34" s="31"/>
      <c r="AD34" s="48"/>
      <c r="AE34" s="31"/>
      <c r="AF34" s="34">
        <f t="shared" si="4"/>
        <v>0</v>
      </c>
      <c r="AH34" s="48"/>
      <c r="AI34" s="31"/>
      <c r="AJ34" s="34">
        <f t="shared" si="5"/>
        <v>0</v>
      </c>
      <c r="AO34" s="123"/>
    </row>
    <row r="35" spans="1:41" ht="12" customHeight="1" x14ac:dyDescent="0.2">
      <c r="A35" s="205"/>
      <c r="B35" s="32"/>
      <c r="C35" s="33"/>
      <c r="D35" s="34">
        <f t="shared" si="0"/>
        <v>0</v>
      </c>
      <c r="E35" s="25"/>
      <c r="F35" s="24"/>
      <c r="G35" s="25"/>
      <c r="H35" s="34">
        <f t="shared" si="9"/>
        <v>0</v>
      </c>
      <c r="I35" s="25"/>
      <c r="J35" s="24"/>
      <c r="K35" s="25"/>
      <c r="L35" s="34">
        <f t="shared" si="8"/>
        <v>0</v>
      </c>
      <c r="M35" s="25"/>
      <c r="N35" s="24"/>
      <c r="O35" s="25"/>
      <c r="P35" s="34">
        <f t="shared" si="6"/>
        <v>0</v>
      </c>
      <c r="Q35" s="25"/>
      <c r="R35" s="43"/>
      <c r="S35" s="35"/>
      <c r="T35" s="34">
        <f t="shared" si="10"/>
        <v>0</v>
      </c>
      <c r="U35" s="25"/>
      <c r="V35" s="24"/>
      <c r="W35" s="25"/>
      <c r="X35" s="34">
        <f t="shared" si="7"/>
        <v>0</v>
      </c>
      <c r="Y35" s="31"/>
      <c r="Z35" s="24"/>
      <c r="AA35" s="25"/>
      <c r="AB35" s="34">
        <f t="shared" si="3"/>
        <v>0</v>
      </c>
      <c r="AD35" s="48"/>
      <c r="AE35" s="31"/>
      <c r="AF35" s="34">
        <f t="shared" si="4"/>
        <v>0</v>
      </c>
      <c r="AH35" s="48"/>
      <c r="AI35" s="31"/>
      <c r="AJ35" s="34">
        <f t="shared" si="5"/>
        <v>0</v>
      </c>
    </row>
    <row r="36" spans="1:41" ht="12" customHeight="1" x14ac:dyDescent="0.2">
      <c r="A36" s="205"/>
      <c r="B36" s="32"/>
      <c r="C36" s="33"/>
      <c r="D36" s="34">
        <f t="shared" si="0"/>
        <v>0</v>
      </c>
      <c r="E36" s="25"/>
      <c r="F36" s="43"/>
      <c r="G36" s="35"/>
      <c r="H36" s="34">
        <f t="shared" si="9"/>
        <v>0</v>
      </c>
      <c r="I36" s="25"/>
      <c r="J36" s="24"/>
      <c r="K36" s="25"/>
      <c r="L36" s="34">
        <f t="shared" si="8"/>
        <v>0</v>
      </c>
      <c r="M36" s="25"/>
      <c r="N36" s="24"/>
      <c r="O36" s="25"/>
      <c r="P36" s="34">
        <f t="shared" si="6"/>
        <v>0</v>
      </c>
      <c r="Q36" s="25"/>
      <c r="R36" s="24"/>
      <c r="S36" s="25"/>
      <c r="T36" s="34">
        <f t="shared" si="10"/>
        <v>0</v>
      </c>
      <c r="U36" s="25"/>
      <c r="V36" s="24"/>
      <c r="W36" s="25"/>
      <c r="X36" s="34">
        <f t="shared" si="7"/>
        <v>0</v>
      </c>
      <c r="Y36" s="31"/>
      <c r="Z36" s="24"/>
      <c r="AA36" s="25"/>
      <c r="AB36" s="34">
        <f t="shared" si="3"/>
        <v>0</v>
      </c>
      <c r="AC36" s="31"/>
      <c r="AD36" s="48"/>
      <c r="AE36" s="31"/>
      <c r="AF36" s="34">
        <f t="shared" si="4"/>
        <v>0</v>
      </c>
      <c r="AH36" s="48"/>
      <c r="AI36" s="31"/>
      <c r="AJ36" s="34">
        <f t="shared" si="5"/>
        <v>0</v>
      </c>
      <c r="AM36" s="123"/>
    </row>
    <row r="37" spans="1:41" ht="12" customHeight="1" x14ac:dyDescent="0.2">
      <c r="A37" s="205"/>
      <c r="B37" s="32"/>
      <c r="C37" s="33"/>
      <c r="D37" s="34">
        <f t="shared" si="0"/>
        <v>0</v>
      </c>
      <c r="E37" s="25"/>
      <c r="F37" s="43"/>
      <c r="G37" s="35"/>
      <c r="H37" s="34">
        <f t="shared" si="9"/>
        <v>0</v>
      </c>
      <c r="I37" s="25"/>
      <c r="J37" s="24"/>
      <c r="K37" s="25"/>
      <c r="L37" s="34">
        <f t="shared" si="8"/>
        <v>0</v>
      </c>
      <c r="M37" s="25"/>
      <c r="N37" s="24"/>
      <c r="O37" s="25"/>
      <c r="P37" s="34">
        <f t="shared" si="6"/>
        <v>0</v>
      </c>
      <c r="Q37" s="25"/>
      <c r="R37" s="43"/>
      <c r="S37" s="35"/>
      <c r="T37" s="34">
        <f t="shared" si="10"/>
        <v>0</v>
      </c>
      <c r="U37" s="25"/>
      <c r="V37" s="24"/>
      <c r="W37" s="25"/>
      <c r="X37" s="34">
        <f t="shared" si="7"/>
        <v>0</v>
      </c>
      <c r="Y37" s="31"/>
      <c r="Z37" s="24"/>
      <c r="AA37" s="25"/>
      <c r="AB37" s="34">
        <f t="shared" si="3"/>
        <v>0</v>
      </c>
      <c r="AD37" s="48"/>
      <c r="AE37" s="31"/>
      <c r="AF37" s="34">
        <f t="shared" si="4"/>
        <v>0</v>
      </c>
      <c r="AH37" s="48"/>
      <c r="AI37" s="31"/>
      <c r="AJ37" s="34">
        <f t="shared" si="5"/>
        <v>0</v>
      </c>
      <c r="AM37" s="124"/>
    </row>
    <row r="38" spans="1:41" ht="12" customHeight="1" x14ac:dyDescent="0.2">
      <c r="A38" s="76"/>
      <c r="B38" s="32"/>
      <c r="C38" s="33"/>
      <c r="D38" s="34">
        <f t="shared" si="0"/>
        <v>0</v>
      </c>
      <c r="E38" s="25"/>
      <c r="F38" s="24"/>
      <c r="G38" s="25"/>
      <c r="H38" s="34">
        <f t="shared" si="9"/>
        <v>0</v>
      </c>
      <c r="I38" s="25"/>
      <c r="J38" s="24"/>
      <c r="K38" s="25"/>
      <c r="L38" s="34">
        <f t="shared" si="8"/>
        <v>0</v>
      </c>
      <c r="M38" s="25"/>
      <c r="N38" s="24"/>
      <c r="O38" s="25"/>
      <c r="P38" s="34">
        <f t="shared" si="6"/>
        <v>0</v>
      </c>
      <c r="Q38" s="25"/>
      <c r="R38" s="24"/>
      <c r="S38" s="25"/>
      <c r="T38" s="34">
        <f t="shared" si="10"/>
        <v>0</v>
      </c>
      <c r="U38" s="25"/>
      <c r="V38" s="24"/>
      <c r="W38" s="25"/>
      <c r="X38" s="34">
        <f t="shared" si="7"/>
        <v>0</v>
      </c>
      <c r="Y38" s="31"/>
      <c r="Z38" s="24"/>
      <c r="AA38" s="25"/>
      <c r="AB38" s="34">
        <f t="shared" si="3"/>
        <v>0</v>
      </c>
      <c r="AC38" s="31"/>
      <c r="AD38" s="48"/>
      <c r="AE38" s="31"/>
      <c r="AF38" s="34">
        <f t="shared" si="4"/>
        <v>0</v>
      </c>
      <c r="AH38" s="48"/>
      <c r="AI38" s="31"/>
      <c r="AJ38" s="34">
        <f t="shared" si="5"/>
        <v>0</v>
      </c>
    </row>
    <row r="39" spans="1:41" ht="12" customHeight="1" x14ac:dyDescent="0.2">
      <c r="A39" s="36"/>
      <c r="B39" s="32"/>
      <c r="C39" s="33"/>
      <c r="D39" s="34">
        <f t="shared" si="0"/>
        <v>0</v>
      </c>
      <c r="E39" s="25"/>
      <c r="F39" s="24"/>
      <c r="G39" s="25"/>
      <c r="H39" s="34">
        <f t="shared" si="9"/>
        <v>0</v>
      </c>
      <c r="I39" s="25"/>
      <c r="J39" s="43"/>
      <c r="K39" s="35"/>
      <c r="L39" s="34">
        <f t="shared" si="8"/>
        <v>0</v>
      </c>
      <c r="M39" s="25"/>
      <c r="N39" s="24"/>
      <c r="O39" s="25"/>
      <c r="P39" s="34">
        <f t="shared" si="6"/>
        <v>0</v>
      </c>
      <c r="Q39" s="25"/>
      <c r="R39" s="43"/>
      <c r="S39" s="35"/>
      <c r="T39" s="34">
        <f t="shared" si="10"/>
        <v>0</v>
      </c>
      <c r="U39" s="25"/>
      <c r="V39" s="24"/>
      <c r="W39" s="25"/>
      <c r="X39" s="34">
        <f t="shared" si="7"/>
        <v>0</v>
      </c>
      <c r="Y39" s="31"/>
      <c r="Z39" s="24"/>
      <c r="AA39" s="25"/>
      <c r="AB39" s="34">
        <f t="shared" si="3"/>
        <v>0</v>
      </c>
      <c r="AD39" s="48"/>
      <c r="AE39" s="31"/>
      <c r="AF39" s="34">
        <f t="shared" si="4"/>
        <v>0</v>
      </c>
      <c r="AH39" s="48"/>
      <c r="AI39" s="31"/>
      <c r="AJ39" s="34">
        <f t="shared" si="5"/>
        <v>0</v>
      </c>
    </row>
    <row r="40" spans="1:41" ht="12" customHeight="1" x14ac:dyDescent="0.2">
      <c r="A40" s="36"/>
      <c r="B40" s="32"/>
      <c r="C40" s="33"/>
      <c r="D40" s="34">
        <f t="shared" si="0"/>
        <v>0</v>
      </c>
      <c r="E40" s="25"/>
      <c r="F40" s="24"/>
      <c r="G40" s="25"/>
      <c r="H40" s="34">
        <f t="shared" si="9"/>
        <v>0</v>
      </c>
      <c r="I40" s="25"/>
      <c r="J40" s="43"/>
      <c r="K40" s="35"/>
      <c r="L40" s="34">
        <f t="shared" si="8"/>
        <v>0</v>
      </c>
      <c r="M40" s="25"/>
      <c r="N40" s="24"/>
      <c r="O40" s="25"/>
      <c r="P40" s="34">
        <f t="shared" si="6"/>
        <v>0</v>
      </c>
      <c r="Q40" s="25"/>
      <c r="R40" s="43"/>
      <c r="S40" s="35"/>
      <c r="T40" s="34">
        <f t="shared" si="10"/>
        <v>0</v>
      </c>
      <c r="U40" s="25"/>
      <c r="V40" s="24"/>
      <c r="W40" s="25"/>
      <c r="X40" s="34">
        <f t="shared" si="7"/>
        <v>0</v>
      </c>
      <c r="Y40" s="31"/>
      <c r="Z40" s="24"/>
      <c r="AA40" s="25"/>
      <c r="AB40" s="34">
        <f t="shared" si="3"/>
        <v>0</v>
      </c>
      <c r="AD40" s="48"/>
      <c r="AE40" s="31"/>
      <c r="AF40" s="34">
        <f t="shared" si="4"/>
        <v>0</v>
      </c>
      <c r="AH40" s="48"/>
      <c r="AI40" s="31"/>
      <c r="AJ40" s="34">
        <f t="shared" si="5"/>
        <v>0</v>
      </c>
    </row>
    <row r="41" spans="1:41" ht="12" customHeight="1" x14ac:dyDescent="0.2">
      <c r="A41" s="36"/>
      <c r="B41" s="32"/>
      <c r="C41" s="33"/>
      <c r="D41" s="34">
        <f t="shared" si="0"/>
        <v>0</v>
      </c>
      <c r="E41" s="25"/>
      <c r="F41" s="24"/>
      <c r="G41" s="25"/>
      <c r="H41" s="34">
        <f t="shared" si="9"/>
        <v>0</v>
      </c>
      <c r="I41" s="25"/>
      <c r="J41" s="43"/>
      <c r="K41" s="35"/>
      <c r="L41" s="34">
        <f t="shared" si="8"/>
        <v>0</v>
      </c>
      <c r="M41" s="25"/>
      <c r="N41" s="24"/>
      <c r="O41" s="25"/>
      <c r="P41" s="34">
        <f t="shared" si="6"/>
        <v>0</v>
      </c>
      <c r="Q41" s="25"/>
      <c r="R41" s="43"/>
      <c r="S41" s="35"/>
      <c r="T41" s="34">
        <f t="shared" si="10"/>
        <v>0</v>
      </c>
      <c r="U41" s="25"/>
      <c r="V41" s="24"/>
      <c r="W41" s="25"/>
      <c r="X41" s="34">
        <f t="shared" si="7"/>
        <v>0</v>
      </c>
      <c r="Y41" s="31"/>
      <c r="Z41" s="24"/>
      <c r="AA41" s="25"/>
      <c r="AB41" s="34">
        <f t="shared" si="3"/>
        <v>0</v>
      </c>
      <c r="AD41" s="48"/>
      <c r="AE41" s="31"/>
      <c r="AF41" s="34">
        <f t="shared" si="4"/>
        <v>0</v>
      </c>
      <c r="AH41" s="48"/>
      <c r="AI41" s="31"/>
      <c r="AJ41" s="34">
        <f t="shared" si="5"/>
        <v>0</v>
      </c>
    </row>
    <row r="42" spans="1:41" ht="12" customHeight="1" thickBot="1" x14ac:dyDescent="0.25">
      <c r="A42" s="36"/>
      <c r="B42" s="77"/>
      <c r="C42" s="78"/>
      <c r="D42" s="79">
        <f t="shared" si="0"/>
        <v>0</v>
      </c>
      <c r="E42" s="25"/>
      <c r="F42" s="40"/>
      <c r="G42" s="41"/>
      <c r="H42" s="79">
        <f t="shared" si="9"/>
        <v>0</v>
      </c>
      <c r="I42" s="25"/>
      <c r="J42" s="37"/>
      <c r="K42" s="38"/>
      <c r="L42" s="39"/>
      <c r="M42" s="25"/>
      <c r="N42" s="40"/>
      <c r="O42" s="41"/>
      <c r="P42" s="42"/>
      <c r="Q42" s="25"/>
      <c r="R42" s="40"/>
      <c r="S42" s="41"/>
      <c r="T42" s="42"/>
      <c r="U42" s="25"/>
      <c r="V42" s="40"/>
      <c r="W42" s="41"/>
      <c r="X42" s="42"/>
      <c r="Y42" s="31"/>
      <c r="Z42" s="40"/>
      <c r="AA42" s="41"/>
      <c r="AB42" s="42"/>
      <c r="AD42" s="49"/>
      <c r="AE42" s="50"/>
      <c r="AF42" s="51"/>
      <c r="AH42" s="49"/>
      <c r="AI42" s="50"/>
      <c r="AJ42" s="51"/>
    </row>
    <row r="43" spans="1:41" ht="12" customHeight="1" thickBot="1" x14ac:dyDescent="0.25">
      <c r="B43" s="130"/>
      <c r="C43" s="130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30"/>
      <c r="U43" s="130"/>
      <c r="V43" s="130"/>
      <c r="W43" s="130"/>
      <c r="X43" s="130"/>
      <c r="Z43" s="130"/>
      <c r="AA43" s="130"/>
      <c r="AB43" s="130"/>
    </row>
    <row r="44" spans="1:41" ht="12" customHeight="1" x14ac:dyDescent="0.2">
      <c r="A44" s="218" t="s">
        <v>39</v>
      </c>
      <c r="B44" s="219"/>
      <c r="C44" s="125"/>
      <c r="D44" s="52">
        <f>D6+D7+D9+D11+D13+D17+D19+D21+D23+D25+D27</f>
        <v>3.3722222222222218</v>
      </c>
      <c r="E44" s="53"/>
      <c r="F44" s="98">
        <v>80</v>
      </c>
      <c r="G44" s="99">
        <f>56/60</f>
        <v>0.93333333333333335</v>
      </c>
      <c r="H44" s="54">
        <f>H11</f>
        <v>0.20833333333333337</v>
      </c>
      <c r="I44" s="53"/>
      <c r="J44" s="98">
        <v>5</v>
      </c>
      <c r="K44" s="99"/>
      <c r="L44" s="54">
        <f>L14+L8+L6</f>
        <v>0.16666666666666669</v>
      </c>
      <c r="M44" s="53"/>
      <c r="N44" s="98">
        <v>4</v>
      </c>
      <c r="O44" s="99"/>
      <c r="P44" s="54">
        <f>P9</f>
        <v>0</v>
      </c>
      <c r="Q44" s="53"/>
      <c r="R44" s="126"/>
      <c r="S44" s="127"/>
      <c r="T44" s="54">
        <f>T12+T8</f>
        <v>0</v>
      </c>
      <c r="U44" s="53"/>
      <c r="V44" s="98">
        <v>2</v>
      </c>
      <c r="W44" s="99">
        <f>11/60</f>
        <v>0.18333333333333332</v>
      </c>
      <c r="X44" s="125"/>
      <c r="Y44" s="55"/>
      <c r="Z44" s="90"/>
      <c r="AA44" s="91"/>
      <c r="AB44" s="117">
        <f>AB17</f>
        <v>8.333333333333337E-2</v>
      </c>
      <c r="AD44" s="118">
        <v>2</v>
      </c>
      <c r="AE44" s="47"/>
      <c r="AF44" s="80">
        <f>AF22</f>
        <v>0</v>
      </c>
      <c r="AH44" s="97">
        <v>0</v>
      </c>
      <c r="AI44" s="47">
        <v>0</v>
      </c>
      <c r="AJ44" s="80">
        <f>AJ21+AJ8</f>
        <v>0.41666666666666669</v>
      </c>
      <c r="AK44" s="105">
        <v>0</v>
      </c>
    </row>
    <row r="45" spans="1:41" ht="12" customHeight="1" thickBot="1" x14ac:dyDescent="0.25">
      <c r="A45" s="220" t="s">
        <v>40</v>
      </c>
      <c r="B45" s="221"/>
      <c r="C45" s="40"/>
      <c r="D45" s="56">
        <f>D8+D10+D12+D14+D20+D22+D24+D26+D28</f>
        <v>0.7347222222222215</v>
      </c>
      <c r="E45" s="57"/>
      <c r="F45" s="100">
        <v>17</v>
      </c>
      <c r="G45" s="101">
        <f>38/60</f>
        <v>0.6333333333333333</v>
      </c>
      <c r="H45" s="58">
        <f>H28</f>
        <v>0</v>
      </c>
      <c r="I45" s="57"/>
      <c r="J45" s="100"/>
      <c r="K45" s="101"/>
      <c r="L45" s="58">
        <f>L8</f>
        <v>0</v>
      </c>
      <c r="M45" s="57"/>
      <c r="N45" s="100"/>
      <c r="O45" s="101"/>
      <c r="P45" s="58"/>
      <c r="Q45" s="57"/>
      <c r="R45" s="41"/>
      <c r="S45" s="42"/>
      <c r="T45" s="58">
        <f>T20+T30</f>
        <v>0</v>
      </c>
      <c r="U45" s="57"/>
      <c r="V45" s="100"/>
      <c r="W45" s="101"/>
      <c r="X45" s="58">
        <f>X6</f>
        <v>0</v>
      </c>
      <c r="Y45" s="59"/>
      <c r="Z45" s="89"/>
      <c r="AA45" s="92"/>
      <c r="AB45" s="60"/>
      <c r="AD45" s="49"/>
      <c r="AE45" s="50"/>
      <c r="AF45" s="81">
        <f>AF14+AF19+AF20</f>
        <v>0.43055555555555558</v>
      </c>
      <c r="AH45" s="106">
        <v>0</v>
      </c>
      <c r="AI45" s="107">
        <v>0</v>
      </c>
      <c r="AJ45" s="73"/>
    </row>
    <row r="46" spans="1:41" ht="12" customHeight="1" x14ac:dyDescent="0.2">
      <c r="B46" s="130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130"/>
      <c r="T46" s="130"/>
      <c r="U46" s="130"/>
      <c r="V46" s="130"/>
      <c r="W46" s="130"/>
      <c r="X46" s="130"/>
      <c r="Z46" s="130"/>
      <c r="AA46" s="130"/>
      <c r="AB46" s="130"/>
    </row>
    <row r="47" spans="1:41" ht="12" customHeight="1" x14ac:dyDescent="0.2">
      <c r="B47" s="61"/>
      <c r="C47" s="61"/>
      <c r="D47" s="62"/>
      <c r="E47" s="130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130"/>
      <c r="T47" s="130"/>
      <c r="U47" s="130"/>
      <c r="V47" s="130"/>
      <c r="W47" s="130"/>
      <c r="X47" s="130"/>
      <c r="Z47" s="130"/>
      <c r="AA47" s="130"/>
      <c r="AB47" s="130"/>
    </row>
    <row r="48" spans="1:41" ht="12" customHeight="1" thickBot="1" x14ac:dyDescent="0.25">
      <c r="B48" s="61"/>
      <c r="C48" s="61"/>
      <c r="D48" s="62"/>
      <c r="E48" s="130"/>
      <c r="F48" s="130"/>
      <c r="G48" s="130"/>
      <c r="H48" s="130"/>
      <c r="I48" s="130"/>
      <c r="J48" s="130"/>
      <c r="K48" s="130"/>
      <c r="L48" s="130"/>
      <c r="M48" s="130"/>
      <c r="N48" s="130"/>
      <c r="O48" s="130"/>
      <c r="P48" s="130"/>
      <c r="Q48" s="130"/>
      <c r="R48" s="130"/>
      <c r="S48" s="130"/>
      <c r="T48" s="130"/>
      <c r="U48" s="130"/>
      <c r="V48" s="130"/>
      <c r="W48" s="130"/>
      <c r="X48" s="130"/>
      <c r="Z48" s="130"/>
      <c r="AA48" s="130"/>
      <c r="AB48" s="130"/>
    </row>
    <row r="49" spans="1:36" ht="12" customHeight="1" x14ac:dyDescent="0.2">
      <c r="A49" s="63" t="s">
        <v>42</v>
      </c>
      <c r="B49" s="64"/>
      <c r="C49" s="214">
        <v>245339.33</v>
      </c>
      <c r="D49" s="215"/>
      <c r="E49" s="65"/>
      <c r="F49" s="66"/>
      <c r="G49" s="214">
        <v>245339.33</v>
      </c>
      <c r="H49" s="215"/>
      <c r="I49" s="67"/>
      <c r="J49" s="68"/>
      <c r="K49" s="214">
        <v>245339.33</v>
      </c>
      <c r="L49" s="215"/>
      <c r="M49" s="130"/>
      <c r="N49" s="68"/>
      <c r="O49" s="214">
        <v>245339.33</v>
      </c>
      <c r="P49" s="215"/>
      <c r="Q49" s="130"/>
      <c r="R49" s="68"/>
      <c r="S49" s="214">
        <v>245339.33</v>
      </c>
      <c r="T49" s="215"/>
      <c r="U49" s="130"/>
      <c r="V49" s="68"/>
      <c r="W49" s="214">
        <v>245339.33</v>
      </c>
      <c r="X49" s="215"/>
      <c r="Z49" s="68"/>
      <c r="AA49" s="214">
        <v>245339.33</v>
      </c>
      <c r="AB49" s="215"/>
      <c r="AD49" s="46"/>
      <c r="AE49" s="214">
        <v>245339.33</v>
      </c>
      <c r="AF49" s="215"/>
      <c r="AH49" s="46"/>
      <c r="AI49" s="214">
        <v>245339.33</v>
      </c>
      <c r="AJ49" s="215"/>
    </row>
    <row r="50" spans="1:36" ht="12" customHeight="1" thickBot="1" x14ac:dyDescent="0.25">
      <c r="A50" s="63" t="s">
        <v>43</v>
      </c>
      <c r="B50" s="40"/>
      <c r="C50" s="222">
        <v>0</v>
      </c>
      <c r="D50" s="223"/>
      <c r="E50" s="67"/>
      <c r="F50" s="69"/>
      <c r="G50" s="222">
        <f>J45+K45</f>
        <v>0</v>
      </c>
      <c r="H50" s="223"/>
      <c r="I50" s="70"/>
      <c r="J50" s="71"/>
      <c r="K50" s="222">
        <f>(N45+O45)*T2</f>
        <v>0</v>
      </c>
      <c r="L50" s="223"/>
      <c r="M50" s="130"/>
      <c r="N50" s="69"/>
      <c r="O50" s="222">
        <f>R45*T2</f>
        <v>0</v>
      </c>
      <c r="P50" s="223"/>
      <c r="Q50" s="130"/>
      <c r="R50" s="69"/>
      <c r="S50" s="222">
        <f>(V45+W45)*T2</f>
        <v>0</v>
      </c>
      <c r="T50" s="223"/>
      <c r="U50" s="130"/>
      <c r="V50" s="69"/>
      <c r="W50" s="222">
        <f>Z45*T2</f>
        <v>0</v>
      </c>
      <c r="X50" s="223"/>
      <c r="Z50" s="69"/>
      <c r="AA50" s="222"/>
      <c r="AB50" s="223"/>
      <c r="AD50" s="49"/>
      <c r="AE50" s="224">
        <f>(AH45+AI45)*T2</f>
        <v>0</v>
      </c>
      <c r="AF50" s="225"/>
      <c r="AH50" s="49"/>
      <c r="AI50" s="224"/>
      <c r="AJ50" s="225"/>
    </row>
    <row r="51" spans="1:36" ht="12" customHeight="1" thickBot="1" x14ac:dyDescent="0.25">
      <c r="B51" s="130"/>
      <c r="C51" s="130"/>
      <c r="D51" s="70"/>
      <c r="E51" s="70"/>
      <c r="F51" s="70"/>
      <c r="G51" s="130"/>
      <c r="H51" s="70"/>
      <c r="I51" s="70"/>
      <c r="J51" s="70"/>
      <c r="K51" s="130"/>
      <c r="L51" s="130"/>
      <c r="M51" s="130"/>
      <c r="N51" s="130"/>
      <c r="O51" s="130"/>
      <c r="P51" s="130"/>
      <c r="Q51" s="130"/>
      <c r="R51" s="130"/>
      <c r="S51" s="130"/>
      <c r="T51" s="130"/>
      <c r="U51" s="130"/>
      <c r="V51" s="130"/>
      <c r="W51" s="130"/>
      <c r="X51" s="130"/>
    </row>
    <row r="52" spans="1:36" ht="12" customHeight="1" thickBot="1" x14ac:dyDescent="0.25">
      <c r="A52" s="19" t="s">
        <v>44</v>
      </c>
      <c r="B52" s="67"/>
      <c r="C52" s="226">
        <f>+C49</f>
        <v>245339.33</v>
      </c>
      <c r="D52" s="227"/>
      <c r="E52" s="72"/>
      <c r="F52" s="72"/>
      <c r="G52" s="226">
        <f>G49+G50</f>
        <v>245339.33</v>
      </c>
      <c r="H52" s="228"/>
      <c r="I52" s="72"/>
      <c r="J52" s="72"/>
      <c r="K52" s="226">
        <f>+K49</f>
        <v>245339.33</v>
      </c>
      <c r="L52" s="228"/>
      <c r="M52" s="72"/>
      <c r="N52" s="72"/>
      <c r="O52" s="226">
        <f>O49+O50</f>
        <v>245339.33</v>
      </c>
      <c r="P52" s="228"/>
      <c r="Q52" s="72"/>
      <c r="R52" s="72"/>
      <c r="S52" s="226">
        <f>S49+S50</f>
        <v>245339.33</v>
      </c>
      <c r="T52" s="227"/>
      <c r="U52" s="130"/>
      <c r="V52" s="130"/>
      <c r="W52" s="229">
        <f>+W49</f>
        <v>245339.33</v>
      </c>
      <c r="X52" s="228"/>
      <c r="AA52" s="229">
        <f>AA49+AA50</f>
        <v>245339.33</v>
      </c>
      <c r="AB52" s="228"/>
      <c r="AE52" s="226">
        <f>AE49+AE50</f>
        <v>245339.33</v>
      </c>
      <c r="AF52" s="228"/>
      <c r="AI52" s="229">
        <f>AI49+AI50</f>
        <v>245339.33</v>
      </c>
      <c r="AJ52" s="228"/>
    </row>
    <row r="53" spans="1:36" ht="12" customHeight="1" x14ac:dyDescent="0.2">
      <c r="B53" s="130"/>
      <c r="C53" s="130"/>
      <c r="D53" s="130"/>
      <c r="E53" s="130"/>
      <c r="F53" s="130"/>
      <c r="G53" s="130"/>
      <c r="H53" s="130"/>
      <c r="I53" s="130"/>
      <c r="J53" s="130"/>
      <c r="K53" s="130"/>
      <c r="L53" s="130"/>
      <c r="M53" s="130"/>
      <c r="N53" s="130"/>
      <c r="O53" s="130"/>
      <c r="P53" s="130"/>
      <c r="Q53" s="130"/>
      <c r="R53" s="130"/>
      <c r="S53" s="130"/>
      <c r="T53" s="130"/>
      <c r="U53" s="130"/>
      <c r="V53" s="130"/>
      <c r="W53" s="130"/>
      <c r="X53" s="130"/>
    </row>
    <row r="54" spans="1:36" ht="12" customHeight="1" x14ac:dyDescent="0.2">
      <c r="A54" s="19" t="s">
        <v>27</v>
      </c>
      <c r="B54" s="130"/>
      <c r="C54" s="231">
        <f>C52+G52+K52+O52+S52+W52+AA52+AE52+AI52</f>
        <v>2208053.9700000002</v>
      </c>
      <c r="D54" s="231"/>
      <c r="E54" s="130"/>
      <c r="F54" s="130"/>
      <c r="G54" s="130"/>
      <c r="H54" s="130"/>
      <c r="I54" s="130"/>
      <c r="J54" s="130"/>
      <c r="K54" s="130"/>
      <c r="L54" s="130"/>
      <c r="M54" s="130"/>
      <c r="N54" s="130"/>
      <c r="O54" s="130"/>
      <c r="P54" s="130"/>
      <c r="Q54" s="130"/>
      <c r="R54" s="130"/>
      <c r="S54" s="130"/>
      <c r="T54" s="130"/>
      <c r="U54" s="130"/>
      <c r="V54" s="130"/>
      <c r="W54" s="130"/>
      <c r="X54" s="130"/>
    </row>
    <row r="55" spans="1:36" ht="12" customHeight="1" x14ac:dyDescent="0.2">
      <c r="B55" s="130"/>
      <c r="C55" s="130"/>
      <c r="D55" s="130"/>
      <c r="E55" s="130"/>
      <c r="F55" s="130"/>
      <c r="G55" s="130"/>
      <c r="H55" s="130"/>
      <c r="I55" s="130"/>
      <c r="J55" s="232"/>
      <c r="K55" s="232"/>
      <c r="L55" s="130"/>
      <c r="M55" s="130"/>
      <c r="N55" s="130"/>
      <c r="O55" s="130"/>
      <c r="P55" s="130"/>
      <c r="Q55" s="130"/>
      <c r="R55" s="130"/>
      <c r="S55" s="130"/>
      <c r="T55" s="130"/>
      <c r="U55" s="130"/>
      <c r="V55" s="130"/>
      <c r="W55" s="130"/>
      <c r="X55" s="130"/>
    </row>
    <row r="56" spans="1:36" ht="12" customHeight="1" x14ac:dyDescent="0.2">
      <c r="B56" s="130"/>
      <c r="C56" s="130"/>
      <c r="D56" s="130"/>
      <c r="E56" s="130"/>
      <c r="F56" s="130"/>
      <c r="G56" s="130"/>
      <c r="H56" s="119"/>
      <c r="I56" s="119"/>
      <c r="J56" s="119"/>
      <c r="K56" s="119"/>
      <c r="L56" s="119"/>
      <c r="M56" s="119"/>
      <c r="N56" s="119"/>
      <c r="O56" s="130"/>
      <c r="P56" s="233"/>
      <c r="Q56" s="233"/>
      <c r="R56" s="233"/>
      <c r="S56" s="233"/>
      <c r="T56" s="233"/>
      <c r="U56" s="130"/>
      <c r="V56" s="130"/>
      <c r="W56" s="130"/>
      <c r="X56" s="130"/>
    </row>
    <row r="57" spans="1:36" ht="12" customHeight="1" x14ac:dyDescent="0.2">
      <c r="A57" s="130"/>
      <c r="B57" s="70"/>
      <c r="C57" s="70"/>
      <c r="D57" s="70"/>
      <c r="E57" s="70"/>
      <c r="F57" s="70"/>
      <c r="G57" s="70"/>
      <c r="H57" s="119"/>
      <c r="I57" s="119"/>
      <c r="J57" s="119"/>
      <c r="K57" s="119"/>
      <c r="L57" s="119"/>
      <c r="M57" s="119"/>
      <c r="N57" s="119"/>
      <c r="O57" s="130"/>
      <c r="P57" s="130"/>
      <c r="Q57" s="130"/>
      <c r="R57" s="130"/>
      <c r="S57" s="130"/>
      <c r="T57" s="130"/>
      <c r="U57" s="130"/>
      <c r="V57" s="130"/>
      <c r="W57" s="130"/>
      <c r="X57" s="130"/>
    </row>
    <row r="58" spans="1:36" ht="12" customHeight="1" x14ac:dyDescent="0.2">
      <c r="B58" s="70"/>
      <c r="C58" s="70"/>
      <c r="D58" s="70"/>
      <c r="E58" s="70"/>
      <c r="F58" s="70"/>
      <c r="G58" s="70"/>
      <c r="H58" s="119"/>
      <c r="I58" s="119"/>
      <c r="J58" s="119"/>
      <c r="K58" s="119"/>
      <c r="L58" s="119"/>
      <c r="M58" s="119"/>
      <c r="N58" s="119"/>
      <c r="O58" s="130"/>
      <c r="P58" s="130"/>
      <c r="Q58" s="130"/>
      <c r="R58" s="130"/>
      <c r="S58" s="130"/>
      <c r="T58" s="130"/>
      <c r="U58" s="130"/>
      <c r="V58" s="130"/>
      <c r="W58" s="130"/>
      <c r="X58" s="130"/>
    </row>
    <row r="59" spans="1:36" ht="12" customHeight="1" x14ac:dyDescent="0.2">
      <c r="B59" s="70"/>
      <c r="C59" s="70"/>
      <c r="D59" s="70"/>
      <c r="E59" s="70"/>
      <c r="F59" s="70"/>
      <c r="G59" s="70"/>
      <c r="H59" s="70"/>
      <c r="I59" s="130"/>
      <c r="J59" s="130"/>
      <c r="K59" s="130"/>
      <c r="L59" s="130"/>
      <c r="M59" s="130"/>
      <c r="N59" s="130"/>
      <c r="O59" s="130"/>
      <c r="P59" s="130"/>
      <c r="Q59" s="130"/>
      <c r="R59" s="130"/>
      <c r="S59" s="130"/>
      <c r="T59" s="130"/>
      <c r="U59" s="130"/>
      <c r="V59" s="130"/>
      <c r="W59" s="130"/>
      <c r="X59" s="130"/>
    </row>
    <row r="60" spans="1:36" ht="12" customHeight="1" x14ac:dyDescent="0.2">
      <c r="B60" s="70"/>
      <c r="C60" s="70"/>
      <c r="D60" s="70"/>
      <c r="E60" s="70"/>
      <c r="F60" s="70"/>
      <c r="G60" s="70"/>
      <c r="H60" s="70"/>
      <c r="I60" s="130"/>
      <c r="J60" s="130"/>
      <c r="K60" s="130"/>
      <c r="L60" s="130"/>
      <c r="M60" s="130"/>
      <c r="N60" s="130"/>
      <c r="O60" s="130"/>
      <c r="P60" s="130"/>
      <c r="Q60" s="130"/>
      <c r="R60" s="130"/>
      <c r="S60" s="130"/>
      <c r="T60" s="130"/>
      <c r="U60" s="130"/>
      <c r="V60" s="130"/>
      <c r="W60" s="130"/>
      <c r="X60" s="130"/>
    </row>
    <row r="61" spans="1:36" ht="12" customHeight="1" x14ac:dyDescent="0.2">
      <c r="B61" s="70"/>
      <c r="C61" s="70"/>
      <c r="D61" s="70"/>
      <c r="E61" s="70"/>
      <c r="F61" s="70"/>
      <c r="G61" s="70"/>
      <c r="H61" s="7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  <c r="V61" s="130"/>
      <c r="W61" s="130"/>
      <c r="X61" s="130"/>
    </row>
    <row r="62" spans="1:36" ht="12" customHeight="1" x14ac:dyDescent="0.2">
      <c r="B62" s="230"/>
      <c r="C62" s="230"/>
      <c r="D62" s="230"/>
      <c r="E62" s="230"/>
      <c r="F62" s="230"/>
      <c r="G62" s="230"/>
      <c r="H62" s="2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  <c r="V62" s="130"/>
      <c r="W62" s="130"/>
      <c r="X62" s="130"/>
    </row>
    <row r="63" spans="1:36" ht="12" customHeight="1" x14ac:dyDescent="0.2">
      <c r="B63" s="130"/>
      <c r="C63" s="130"/>
      <c r="D63" s="130"/>
      <c r="E63" s="130"/>
      <c r="F63" s="130"/>
      <c r="G63" s="130"/>
      <c r="H63" s="130"/>
      <c r="I63" s="130"/>
      <c r="J63" s="130"/>
      <c r="K63" s="87"/>
      <c r="L63" s="87"/>
      <c r="M63" s="87"/>
      <c r="N63" s="87"/>
      <c r="O63" s="70"/>
      <c r="P63" s="70"/>
      <c r="Q63" s="130"/>
      <c r="R63" s="130"/>
      <c r="S63" s="130"/>
      <c r="T63" s="130"/>
      <c r="U63" s="130"/>
      <c r="V63" s="130"/>
      <c r="W63" s="130"/>
      <c r="X63" s="130"/>
    </row>
    <row r="64" spans="1:36" ht="12" customHeight="1" x14ac:dyDescent="0.2">
      <c r="B64" s="130"/>
      <c r="C64" s="130"/>
      <c r="D64" s="130"/>
      <c r="E64" s="130"/>
      <c r="F64" s="130"/>
      <c r="G64" s="130"/>
      <c r="H64" s="130"/>
      <c r="I64" s="130"/>
      <c r="J64" s="130"/>
      <c r="K64" s="87"/>
      <c r="L64" s="87"/>
      <c r="M64" s="87"/>
      <c r="N64" s="87"/>
      <c r="O64" s="87"/>
      <c r="P64" s="70"/>
      <c r="Q64" s="130"/>
      <c r="R64" s="130"/>
      <c r="S64" s="130"/>
      <c r="T64" s="130"/>
      <c r="U64" s="130"/>
      <c r="V64" s="130"/>
      <c r="W64" s="130"/>
      <c r="X64" s="130"/>
    </row>
    <row r="65" spans="2:24" ht="12" customHeight="1" x14ac:dyDescent="0.2">
      <c r="B65" s="130"/>
      <c r="C65" s="130"/>
      <c r="D65" s="130"/>
      <c r="E65" s="130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  <c r="V65" s="130"/>
      <c r="W65" s="130"/>
      <c r="X65" s="130"/>
    </row>
    <row r="66" spans="2:24" ht="12" customHeight="1" x14ac:dyDescent="0.2">
      <c r="B66" s="130"/>
      <c r="C66" s="130"/>
      <c r="D66" s="130"/>
      <c r="E66" s="130"/>
      <c r="F66" s="130"/>
      <c r="G66" s="130"/>
      <c r="H66" s="130"/>
      <c r="I66" s="130"/>
      <c r="J66" s="130"/>
      <c r="K66" s="87"/>
      <c r="L66" s="70"/>
      <c r="M66" s="70"/>
      <c r="N66" s="70"/>
      <c r="O66" s="130"/>
      <c r="P66" s="130"/>
      <c r="Q66" s="130"/>
      <c r="R66" s="130"/>
      <c r="S66" s="130"/>
      <c r="T66" s="130"/>
      <c r="U66" s="130"/>
      <c r="V66" s="130"/>
      <c r="W66" s="130"/>
      <c r="X66" s="130"/>
    </row>
    <row r="67" spans="2:24" ht="12" customHeight="1" x14ac:dyDescent="0.2">
      <c r="B67" s="130"/>
      <c r="C67" s="130"/>
      <c r="D67" s="130"/>
      <c r="E67" s="130"/>
      <c r="F67" s="130"/>
      <c r="G67" s="130"/>
      <c r="H67" s="130"/>
      <c r="I67" s="130"/>
      <c r="J67" s="130"/>
      <c r="K67" s="130"/>
      <c r="L67" s="130"/>
      <c r="M67" s="130"/>
      <c r="N67" s="130"/>
      <c r="O67" s="130"/>
      <c r="P67" s="130"/>
      <c r="Q67" s="130"/>
      <c r="R67" s="130"/>
      <c r="S67" s="130"/>
      <c r="T67" s="130"/>
      <c r="U67" s="130"/>
      <c r="V67" s="130"/>
      <c r="W67" s="130"/>
      <c r="X67" s="130"/>
    </row>
    <row r="68" spans="2:24" ht="12" customHeight="1" x14ac:dyDescent="0.2">
      <c r="B68" s="130"/>
      <c r="C68" s="130"/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  <c r="P68" s="130"/>
      <c r="Q68" s="130"/>
      <c r="R68" s="130"/>
      <c r="S68" s="130"/>
      <c r="T68" s="130"/>
      <c r="U68" s="130"/>
      <c r="V68" s="130"/>
      <c r="W68" s="130"/>
      <c r="X68" s="130"/>
    </row>
    <row r="69" spans="2:24" ht="12" customHeight="1" x14ac:dyDescent="0.2">
      <c r="B69" s="130"/>
      <c r="C69" s="130"/>
      <c r="D69" s="130"/>
      <c r="E69" s="130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  <c r="V69" s="130"/>
      <c r="W69" s="130"/>
      <c r="X69" s="130"/>
    </row>
    <row r="70" spans="2:24" ht="12" customHeight="1" x14ac:dyDescent="0.2">
      <c r="B70" s="130"/>
      <c r="C70" s="130"/>
      <c r="D70" s="130"/>
      <c r="E70" s="130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  <c r="V70" s="130"/>
      <c r="W70" s="130"/>
      <c r="X70" s="130"/>
    </row>
    <row r="71" spans="2:24" ht="12" customHeight="1" x14ac:dyDescent="0.2">
      <c r="B71" s="130"/>
      <c r="C71" s="130"/>
      <c r="D71" s="130"/>
      <c r="E71" s="130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  <c r="V71" s="130"/>
      <c r="W71" s="130"/>
      <c r="X71" s="130"/>
    </row>
    <row r="72" spans="2:24" ht="12" customHeight="1" x14ac:dyDescent="0.2">
      <c r="B72" s="130"/>
      <c r="C72" s="130"/>
      <c r="D72" s="130"/>
      <c r="E72" s="130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  <c r="V72" s="130"/>
      <c r="W72" s="130"/>
      <c r="X72" s="130"/>
    </row>
    <row r="73" spans="2:24" ht="12" customHeight="1" x14ac:dyDescent="0.2">
      <c r="B73" s="130"/>
      <c r="C73" s="130"/>
      <c r="D73" s="130"/>
      <c r="E73" s="130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  <c r="V73" s="130"/>
      <c r="W73" s="130"/>
      <c r="X73" s="130"/>
    </row>
    <row r="74" spans="2:24" ht="12" customHeight="1" x14ac:dyDescent="0.2">
      <c r="B74" s="130"/>
      <c r="C74" s="130"/>
      <c r="D74" s="130"/>
      <c r="E74" s="130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  <c r="V74" s="130"/>
      <c r="W74" s="130"/>
      <c r="X74" s="130"/>
    </row>
    <row r="75" spans="2:24" ht="12" customHeight="1" x14ac:dyDescent="0.2">
      <c r="B75" s="130"/>
      <c r="C75" s="130"/>
      <c r="D75" s="130"/>
      <c r="E75" s="130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  <c r="V75" s="130"/>
      <c r="W75" s="130"/>
      <c r="X75" s="130"/>
    </row>
    <row r="76" spans="2:24" ht="12" customHeight="1" x14ac:dyDescent="0.2">
      <c r="B76" s="130"/>
      <c r="C76" s="130"/>
      <c r="D76" s="130"/>
      <c r="E76" s="130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  <c r="V76" s="130"/>
      <c r="W76" s="130"/>
      <c r="X76" s="130"/>
    </row>
    <row r="77" spans="2:24" ht="12" customHeight="1" x14ac:dyDescent="0.2"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</row>
    <row r="78" spans="2:24" ht="12" customHeight="1" x14ac:dyDescent="0.2">
      <c r="B78" s="130"/>
      <c r="C78" s="130"/>
      <c r="D78" s="130"/>
      <c r="E78" s="130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  <c r="V78" s="130"/>
      <c r="W78" s="130"/>
      <c r="X78" s="130"/>
    </row>
    <row r="79" spans="2:24" ht="12" customHeight="1" x14ac:dyDescent="0.2">
      <c r="B79" s="130"/>
      <c r="C79" s="130"/>
      <c r="D79" s="130"/>
      <c r="E79" s="130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  <c r="V79" s="130"/>
      <c r="W79" s="130"/>
      <c r="X79" s="130"/>
    </row>
    <row r="80" spans="2:24" ht="12" customHeight="1" x14ac:dyDescent="0.2">
      <c r="B80" s="130"/>
      <c r="C80" s="130"/>
      <c r="D80" s="130"/>
      <c r="E80" s="130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  <c r="V80" s="130"/>
      <c r="W80" s="130"/>
      <c r="X80" s="130"/>
    </row>
    <row r="81" spans="2:24" ht="12" customHeight="1" x14ac:dyDescent="0.2">
      <c r="B81" s="130"/>
      <c r="C81" s="130"/>
      <c r="D81" s="130"/>
      <c r="E81" s="130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  <c r="V81" s="130"/>
      <c r="W81" s="130"/>
      <c r="X81" s="130"/>
    </row>
    <row r="82" spans="2:24" ht="12" customHeight="1" x14ac:dyDescent="0.2">
      <c r="B82" s="130"/>
      <c r="C82" s="130"/>
      <c r="D82" s="130"/>
      <c r="E82" s="130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  <c r="V82" s="130"/>
      <c r="W82" s="130"/>
      <c r="X82" s="130"/>
    </row>
    <row r="83" spans="2:24" ht="12" customHeight="1" x14ac:dyDescent="0.2">
      <c r="B83" s="130"/>
      <c r="C83" s="130"/>
      <c r="D83" s="130"/>
      <c r="E83" s="130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  <c r="V83" s="130"/>
      <c r="W83" s="130"/>
      <c r="X83" s="130"/>
    </row>
    <row r="84" spans="2:24" ht="12" customHeight="1" x14ac:dyDescent="0.2">
      <c r="B84" s="130"/>
      <c r="C84" s="130"/>
      <c r="D84" s="130"/>
      <c r="E84" s="130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  <c r="V84" s="130"/>
      <c r="W84" s="130"/>
      <c r="X84" s="130"/>
    </row>
    <row r="85" spans="2:24" ht="12" customHeight="1" x14ac:dyDescent="0.2">
      <c r="B85" s="130"/>
      <c r="C85" s="130"/>
      <c r="D85" s="130"/>
      <c r="E85" s="130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  <c r="V85" s="130"/>
      <c r="W85" s="130"/>
      <c r="X85" s="130"/>
    </row>
    <row r="86" spans="2:24" ht="12" customHeight="1" x14ac:dyDescent="0.2">
      <c r="B86" s="130"/>
      <c r="C86" s="130"/>
      <c r="D86" s="130"/>
      <c r="E86" s="130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</row>
    <row r="87" spans="2:24" ht="12" customHeight="1" x14ac:dyDescent="0.2">
      <c r="B87" s="130"/>
      <c r="C87" s="130"/>
      <c r="D87" s="130"/>
      <c r="E87" s="130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</row>
    <row r="88" spans="2:24" ht="12" customHeight="1" x14ac:dyDescent="0.2">
      <c r="B88" s="130"/>
      <c r="C88" s="130"/>
      <c r="D88" s="130"/>
      <c r="E88" s="130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/>
    </row>
    <row r="89" spans="2:24" ht="12" customHeight="1" x14ac:dyDescent="0.2">
      <c r="B89" s="130"/>
      <c r="C89" s="130"/>
      <c r="D89" s="130"/>
      <c r="E89" s="130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  <c r="V89" s="130"/>
      <c r="W89" s="130"/>
      <c r="X89" s="130"/>
    </row>
    <row r="90" spans="2:24" ht="12" customHeight="1" x14ac:dyDescent="0.2">
      <c r="B90" s="130"/>
      <c r="C90" s="130"/>
      <c r="D90" s="130"/>
      <c r="E90" s="130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  <c r="V90" s="130"/>
      <c r="W90" s="130"/>
      <c r="X90" s="130"/>
    </row>
    <row r="91" spans="2:24" ht="12" customHeight="1" x14ac:dyDescent="0.2">
      <c r="B91" s="130"/>
      <c r="C91" s="130"/>
      <c r="D91" s="130"/>
      <c r="E91" s="130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  <c r="V91" s="130"/>
      <c r="W91" s="130"/>
      <c r="X91" s="130"/>
    </row>
    <row r="92" spans="2:24" ht="12" customHeight="1" x14ac:dyDescent="0.2">
      <c r="B92" s="130"/>
      <c r="C92" s="130"/>
      <c r="D92" s="130"/>
      <c r="E92" s="130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  <c r="V92" s="130"/>
      <c r="W92" s="130"/>
      <c r="X92" s="130"/>
    </row>
    <row r="93" spans="2:24" ht="12" customHeight="1" x14ac:dyDescent="0.2">
      <c r="B93" s="130"/>
      <c r="C93" s="130"/>
      <c r="D93" s="130"/>
      <c r="E93" s="130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  <c r="V93" s="130"/>
      <c r="W93" s="130"/>
      <c r="X93" s="130"/>
    </row>
    <row r="94" spans="2:24" ht="12" customHeight="1" x14ac:dyDescent="0.2">
      <c r="B94" s="130"/>
      <c r="C94" s="130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  <c r="V94" s="130"/>
      <c r="W94" s="130"/>
      <c r="X94" s="130"/>
    </row>
    <row r="95" spans="2:24" ht="12" customHeight="1" x14ac:dyDescent="0.2">
      <c r="B95" s="130"/>
      <c r="C95" s="130"/>
      <c r="D95" s="130"/>
      <c r="E95" s="130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</row>
    <row r="96" spans="2:24" ht="12" customHeight="1" x14ac:dyDescent="0.2">
      <c r="B96" s="130"/>
      <c r="C96" s="130"/>
      <c r="D96" s="130"/>
      <c r="E96" s="130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</row>
    <row r="97" spans="2:24" ht="12" customHeight="1" x14ac:dyDescent="0.2"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</row>
    <row r="98" spans="2:24" ht="12" customHeight="1" x14ac:dyDescent="0.2">
      <c r="B98" s="130"/>
      <c r="C98" s="130"/>
      <c r="D98" s="130"/>
      <c r="E98" s="130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</row>
    <row r="99" spans="2:24" ht="12" customHeight="1" x14ac:dyDescent="0.2">
      <c r="B99" s="130"/>
      <c r="C99" s="130"/>
      <c r="D99" s="130"/>
      <c r="E99" s="130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  <c r="V99" s="130"/>
      <c r="W99" s="130"/>
      <c r="X99" s="130"/>
    </row>
    <row r="100" spans="2:24" ht="12" customHeight="1" x14ac:dyDescent="0.2">
      <c r="B100" s="130"/>
      <c r="C100" s="130"/>
      <c r="D100" s="130"/>
      <c r="E100" s="130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  <c r="V100" s="130"/>
      <c r="W100" s="130"/>
      <c r="X100" s="130"/>
    </row>
    <row r="101" spans="2:24" ht="12" customHeight="1" x14ac:dyDescent="0.2"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0"/>
      <c r="M101" s="130"/>
      <c r="N101" s="130"/>
      <c r="O101" s="130"/>
      <c r="P101" s="130"/>
      <c r="Q101" s="130"/>
      <c r="R101" s="130"/>
      <c r="S101" s="130"/>
      <c r="T101" s="130"/>
      <c r="U101" s="130"/>
      <c r="V101" s="130"/>
      <c r="W101" s="130"/>
      <c r="X101" s="130"/>
    </row>
    <row r="102" spans="2:24" ht="12" customHeight="1" x14ac:dyDescent="0.2">
      <c r="B102" s="130"/>
      <c r="C102" s="130"/>
      <c r="D102" s="130"/>
      <c r="E102" s="130"/>
      <c r="F102" s="130"/>
      <c r="G102" s="130"/>
      <c r="H102" s="130"/>
      <c r="I102" s="130"/>
      <c r="J102" s="130"/>
      <c r="K102" s="130"/>
      <c r="L102" s="130"/>
      <c r="M102" s="130"/>
      <c r="N102" s="130"/>
      <c r="O102" s="130"/>
      <c r="P102" s="130"/>
      <c r="Q102" s="130"/>
      <c r="R102" s="130"/>
      <c r="S102" s="130"/>
      <c r="T102" s="130"/>
      <c r="U102" s="130"/>
      <c r="V102" s="130"/>
      <c r="W102" s="130"/>
      <c r="X102" s="130"/>
    </row>
    <row r="103" spans="2:24" ht="12" customHeight="1" x14ac:dyDescent="0.2">
      <c r="B103" s="130"/>
      <c r="C103" s="130"/>
      <c r="D103" s="130"/>
      <c r="E103" s="130"/>
      <c r="F103" s="130"/>
      <c r="G103" s="130"/>
      <c r="H103" s="130"/>
      <c r="I103" s="130"/>
      <c r="J103" s="130"/>
      <c r="K103" s="130"/>
      <c r="L103" s="130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</row>
    <row r="104" spans="2:24" ht="12" customHeight="1" x14ac:dyDescent="0.2">
      <c r="B104" s="130"/>
      <c r="C104" s="130"/>
      <c r="D104" s="130"/>
      <c r="E104" s="130"/>
      <c r="F104" s="130"/>
      <c r="G104" s="130"/>
      <c r="H104" s="130"/>
      <c r="I104" s="130"/>
      <c r="J104" s="130"/>
      <c r="K104" s="130"/>
      <c r="L104" s="130"/>
      <c r="M104" s="130"/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/>
    </row>
    <row r="105" spans="2:24" ht="12" customHeight="1" x14ac:dyDescent="0.2">
      <c r="B105" s="130"/>
      <c r="C105" s="130"/>
      <c r="D105" s="130"/>
      <c r="E105" s="130"/>
      <c r="F105" s="130"/>
      <c r="G105" s="130"/>
      <c r="H105" s="130"/>
      <c r="I105" s="130"/>
      <c r="J105" s="130"/>
      <c r="K105" s="130"/>
      <c r="L105" s="130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</row>
    <row r="106" spans="2:24" ht="12" customHeight="1" x14ac:dyDescent="0.2">
      <c r="B106" s="130"/>
      <c r="C106" s="130"/>
      <c r="D106" s="130"/>
      <c r="E106" s="130"/>
      <c r="F106" s="130"/>
      <c r="G106" s="130"/>
      <c r="H106" s="130"/>
      <c r="I106" s="130"/>
      <c r="J106" s="130"/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</row>
    <row r="107" spans="2:24" ht="12" customHeight="1" x14ac:dyDescent="0.2">
      <c r="B107" s="130"/>
      <c r="C107" s="130"/>
      <c r="D107" s="130"/>
      <c r="E107" s="130"/>
      <c r="F107" s="130"/>
      <c r="G107" s="130"/>
      <c r="H107" s="130"/>
      <c r="I107" s="130"/>
      <c r="J107" s="130"/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0"/>
    </row>
    <row r="108" spans="2:24" ht="12" customHeight="1" x14ac:dyDescent="0.2">
      <c r="B108" s="130"/>
      <c r="C108" s="130"/>
      <c r="D108" s="130"/>
      <c r="E108" s="130"/>
      <c r="F108" s="130"/>
      <c r="G108" s="130"/>
      <c r="H108" s="130"/>
      <c r="I108" s="130"/>
      <c r="J108" s="130"/>
      <c r="K108" s="130"/>
      <c r="L108" s="130"/>
      <c r="M108" s="130"/>
      <c r="N108" s="130"/>
      <c r="O108" s="130"/>
      <c r="P108" s="130"/>
      <c r="Q108" s="130"/>
      <c r="R108" s="130"/>
      <c r="S108" s="130"/>
      <c r="T108" s="130"/>
      <c r="U108" s="130"/>
      <c r="V108" s="130"/>
      <c r="W108" s="130"/>
      <c r="X108" s="130"/>
    </row>
    <row r="109" spans="2:24" ht="12" customHeight="1" x14ac:dyDescent="0.2">
      <c r="B109" s="130"/>
      <c r="C109" s="130"/>
      <c r="D109" s="130"/>
      <c r="E109" s="130"/>
      <c r="F109" s="130"/>
      <c r="G109" s="130"/>
      <c r="H109" s="130"/>
      <c r="I109" s="130"/>
      <c r="J109" s="130"/>
      <c r="K109" s="130"/>
      <c r="L109" s="130"/>
      <c r="M109" s="130"/>
      <c r="N109" s="130"/>
      <c r="O109" s="130"/>
      <c r="P109" s="130"/>
      <c r="Q109" s="130"/>
      <c r="R109" s="130"/>
      <c r="S109" s="130"/>
      <c r="T109" s="130"/>
      <c r="U109" s="130"/>
      <c r="V109" s="130"/>
      <c r="W109" s="130"/>
      <c r="X109" s="130"/>
    </row>
    <row r="110" spans="2:24" ht="12" customHeight="1" x14ac:dyDescent="0.2">
      <c r="B110" s="130"/>
      <c r="C110" s="130"/>
      <c r="D110" s="130"/>
      <c r="E110" s="130"/>
      <c r="F110" s="130"/>
      <c r="G110" s="130"/>
      <c r="H110" s="130"/>
      <c r="I110" s="130"/>
      <c r="J110" s="130"/>
      <c r="K110" s="130"/>
      <c r="L110" s="130"/>
      <c r="M110" s="130"/>
      <c r="N110" s="130"/>
      <c r="O110" s="130"/>
      <c r="P110" s="130"/>
      <c r="Q110" s="130"/>
      <c r="R110" s="130"/>
      <c r="S110" s="130"/>
      <c r="T110" s="130"/>
      <c r="U110" s="130"/>
      <c r="V110" s="130"/>
      <c r="W110" s="130"/>
      <c r="X110" s="130"/>
    </row>
    <row r="111" spans="2:24" ht="12" customHeight="1" x14ac:dyDescent="0.2">
      <c r="B111" s="130"/>
      <c r="C111" s="130"/>
      <c r="D111" s="130"/>
      <c r="E111" s="130"/>
      <c r="F111" s="130"/>
      <c r="G111" s="130"/>
      <c r="H111" s="130"/>
      <c r="I111" s="130"/>
      <c r="J111" s="130"/>
      <c r="K111" s="130"/>
      <c r="L111" s="130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</row>
    <row r="112" spans="2:24" ht="12" customHeight="1" x14ac:dyDescent="0.2">
      <c r="B112" s="130"/>
      <c r="C112" s="130"/>
      <c r="D112" s="130"/>
      <c r="E112" s="130"/>
      <c r="F112" s="130"/>
      <c r="G112" s="130"/>
      <c r="H112" s="130"/>
      <c r="I112" s="130"/>
      <c r="J112" s="130"/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</row>
    <row r="113" spans="2:24" ht="12" customHeight="1" x14ac:dyDescent="0.2">
      <c r="B113" s="130"/>
      <c r="C113" s="130"/>
      <c r="D113" s="130"/>
      <c r="E113" s="130"/>
      <c r="F113" s="130"/>
      <c r="G113" s="130"/>
      <c r="H113" s="130"/>
      <c r="I113" s="130"/>
      <c r="J113" s="130"/>
      <c r="K113" s="130"/>
      <c r="L113" s="130"/>
      <c r="M113" s="130"/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/>
    </row>
    <row r="114" spans="2:24" ht="12" customHeight="1" x14ac:dyDescent="0.2">
      <c r="B114" s="130"/>
      <c r="C114" s="130"/>
      <c r="D114" s="130"/>
      <c r="E114" s="130"/>
      <c r="F114" s="130"/>
      <c r="G114" s="130"/>
      <c r="H114" s="130"/>
      <c r="I114" s="130"/>
      <c r="J114" s="130"/>
      <c r="K114" s="130"/>
      <c r="L114" s="130"/>
      <c r="M114" s="130"/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/>
    </row>
    <row r="115" spans="2:24" ht="12" customHeight="1" x14ac:dyDescent="0.2">
      <c r="B115" s="130"/>
      <c r="C115" s="130"/>
      <c r="D115" s="130"/>
      <c r="E115" s="130"/>
      <c r="F115" s="130"/>
      <c r="G115" s="130"/>
      <c r="H115" s="130"/>
      <c r="I115" s="130"/>
      <c r="J115" s="130"/>
      <c r="K115" s="130"/>
      <c r="L115" s="130"/>
      <c r="M115" s="130"/>
      <c r="N115" s="130"/>
      <c r="O115" s="130"/>
      <c r="P115" s="130"/>
      <c r="Q115" s="130"/>
      <c r="R115" s="130"/>
      <c r="S115" s="130"/>
      <c r="T115" s="130"/>
      <c r="U115" s="130"/>
      <c r="V115" s="130"/>
      <c r="W115" s="130"/>
      <c r="X115" s="130"/>
    </row>
    <row r="116" spans="2:24" ht="12" customHeight="1" x14ac:dyDescent="0.2">
      <c r="B116" s="130"/>
      <c r="C116" s="130"/>
      <c r="D116" s="130"/>
      <c r="E116" s="130"/>
      <c r="F116" s="130"/>
      <c r="G116" s="130"/>
      <c r="H116" s="130"/>
      <c r="I116" s="130"/>
      <c r="J116" s="130"/>
      <c r="K116" s="130"/>
      <c r="L116" s="130"/>
      <c r="M116" s="130"/>
      <c r="N116" s="130"/>
      <c r="O116" s="130"/>
      <c r="P116" s="130"/>
      <c r="Q116" s="130"/>
      <c r="R116" s="130"/>
      <c r="S116" s="130"/>
      <c r="T116" s="130"/>
      <c r="U116" s="130"/>
      <c r="V116" s="130"/>
      <c r="W116" s="130"/>
      <c r="X116" s="130"/>
    </row>
    <row r="117" spans="2:24" ht="12" customHeight="1" x14ac:dyDescent="0.2">
      <c r="B117" s="130"/>
      <c r="C117" s="130"/>
      <c r="D117" s="130"/>
      <c r="E117" s="130"/>
      <c r="F117" s="130"/>
      <c r="G117" s="130"/>
      <c r="H117" s="130"/>
      <c r="I117" s="130"/>
      <c r="J117" s="130"/>
      <c r="K117" s="130"/>
      <c r="L117" s="130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</row>
    <row r="118" spans="2:24" ht="12" customHeight="1" x14ac:dyDescent="0.2">
      <c r="B118" s="130"/>
      <c r="C118" s="130"/>
      <c r="D118" s="130"/>
      <c r="E118" s="130"/>
      <c r="F118" s="130"/>
      <c r="G118" s="130"/>
      <c r="H118" s="130"/>
      <c r="I118" s="130"/>
      <c r="J118" s="130"/>
      <c r="K118" s="130"/>
      <c r="L118" s="130"/>
      <c r="M118" s="130"/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/>
    </row>
    <row r="119" spans="2:24" ht="12" customHeight="1" x14ac:dyDescent="0.2">
      <c r="B119" s="130"/>
      <c r="C119" s="130"/>
      <c r="D119" s="130"/>
      <c r="E119" s="130"/>
      <c r="F119" s="130"/>
      <c r="G119" s="130"/>
      <c r="H119" s="130"/>
      <c r="I119" s="130"/>
      <c r="J119" s="130"/>
      <c r="K119" s="130"/>
      <c r="L119" s="130"/>
      <c r="M119" s="130"/>
      <c r="N119" s="130"/>
      <c r="O119" s="130"/>
      <c r="P119" s="130"/>
      <c r="Q119" s="130"/>
      <c r="R119" s="130"/>
      <c r="S119" s="130"/>
      <c r="T119" s="130"/>
      <c r="U119" s="130"/>
      <c r="V119" s="130"/>
      <c r="W119" s="130"/>
      <c r="X119" s="130"/>
    </row>
    <row r="120" spans="2:24" ht="12" customHeight="1" x14ac:dyDescent="0.2">
      <c r="B120" s="130"/>
      <c r="C120" s="130"/>
      <c r="D120" s="130"/>
      <c r="E120" s="130"/>
      <c r="F120" s="130"/>
      <c r="G120" s="130"/>
      <c r="H120" s="130"/>
      <c r="I120" s="130"/>
      <c r="J120" s="130"/>
      <c r="K120" s="130"/>
      <c r="L120" s="130"/>
      <c r="M120" s="130"/>
      <c r="N120" s="130"/>
      <c r="O120" s="130"/>
      <c r="P120" s="130"/>
      <c r="Q120" s="130"/>
      <c r="R120" s="130"/>
      <c r="S120" s="130"/>
      <c r="T120" s="130"/>
      <c r="U120" s="130"/>
      <c r="V120" s="130"/>
      <c r="W120" s="130"/>
      <c r="X120" s="130"/>
    </row>
    <row r="121" spans="2:24" ht="12" customHeight="1" x14ac:dyDescent="0.2">
      <c r="B121" s="130"/>
      <c r="C121" s="130"/>
      <c r="D121" s="130"/>
      <c r="E121" s="130"/>
      <c r="F121" s="130"/>
      <c r="G121" s="130"/>
      <c r="H121" s="130"/>
      <c r="I121" s="130"/>
      <c r="J121" s="130"/>
      <c r="K121" s="130"/>
      <c r="L121" s="130"/>
      <c r="M121" s="130"/>
      <c r="N121" s="130"/>
      <c r="O121" s="130"/>
      <c r="P121" s="130"/>
      <c r="Q121" s="130"/>
      <c r="R121" s="130"/>
      <c r="S121" s="130"/>
      <c r="T121" s="130"/>
      <c r="U121" s="130"/>
      <c r="V121" s="130"/>
      <c r="W121" s="130"/>
      <c r="X121" s="130"/>
    </row>
    <row r="122" spans="2:24" ht="12" customHeight="1" x14ac:dyDescent="0.2">
      <c r="B122" s="130"/>
      <c r="C122" s="130"/>
      <c r="D122" s="130"/>
      <c r="E122" s="130"/>
      <c r="F122" s="130"/>
      <c r="G122" s="130"/>
      <c r="H122" s="130"/>
      <c r="I122" s="130"/>
      <c r="J122" s="130"/>
      <c r="K122" s="130"/>
      <c r="L122" s="130"/>
      <c r="M122" s="130"/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0"/>
    </row>
    <row r="123" spans="2:24" ht="12" customHeight="1" x14ac:dyDescent="0.2">
      <c r="B123" s="130"/>
      <c r="C123" s="130"/>
      <c r="D123" s="130"/>
      <c r="E123" s="130"/>
      <c r="F123" s="130"/>
      <c r="G123" s="130"/>
      <c r="H123" s="130"/>
      <c r="I123" s="130"/>
      <c r="J123" s="130"/>
      <c r="K123" s="130"/>
      <c r="L123" s="130"/>
      <c r="M123" s="130"/>
      <c r="N123" s="130"/>
      <c r="O123" s="130"/>
      <c r="P123" s="130"/>
      <c r="Q123" s="130"/>
      <c r="R123" s="130"/>
      <c r="S123" s="130"/>
      <c r="T123" s="130"/>
      <c r="U123" s="130"/>
      <c r="V123" s="130"/>
      <c r="W123" s="130"/>
      <c r="X123" s="130"/>
    </row>
    <row r="124" spans="2:24" ht="12" customHeight="1" x14ac:dyDescent="0.2">
      <c r="B124" s="130"/>
      <c r="C124" s="130"/>
      <c r="D124" s="130"/>
      <c r="E124" s="130"/>
      <c r="F124" s="130"/>
      <c r="G124" s="130"/>
      <c r="H124" s="130"/>
      <c r="I124" s="130"/>
      <c r="J124" s="130"/>
      <c r="K124" s="130"/>
      <c r="L124" s="130"/>
      <c r="M124" s="130"/>
      <c r="N124" s="130"/>
      <c r="O124" s="130"/>
      <c r="P124" s="130"/>
      <c r="Q124" s="130"/>
      <c r="R124" s="130"/>
      <c r="S124" s="130"/>
      <c r="T124" s="130"/>
      <c r="U124" s="130"/>
      <c r="V124" s="130"/>
      <c r="W124" s="130"/>
      <c r="X124" s="130"/>
    </row>
    <row r="125" spans="2:24" ht="12" customHeight="1" x14ac:dyDescent="0.2">
      <c r="B125" s="130"/>
      <c r="C125" s="130"/>
      <c r="D125" s="130"/>
      <c r="E125" s="130"/>
      <c r="F125" s="130"/>
      <c r="G125" s="130"/>
      <c r="H125" s="130"/>
      <c r="I125" s="130"/>
      <c r="J125" s="130"/>
      <c r="K125" s="130"/>
      <c r="L125" s="130"/>
      <c r="M125" s="130"/>
      <c r="N125" s="130"/>
      <c r="O125" s="130"/>
      <c r="P125" s="130"/>
      <c r="Q125" s="130"/>
      <c r="R125" s="130"/>
      <c r="S125" s="130"/>
      <c r="T125" s="130"/>
      <c r="U125" s="130"/>
      <c r="V125" s="130"/>
      <c r="W125" s="130"/>
      <c r="X125" s="130"/>
    </row>
    <row r="126" spans="2:24" ht="12" customHeight="1" x14ac:dyDescent="0.2">
      <c r="B126" s="130"/>
      <c r="C126" s="130"/>
      <c r="D126" s="130"/>
      <c r="E126" s="130"/>
      <c r="F126" s="130"/>
      <c r="G126" s="130"/>
      <c r="H126" s="130"/>
      <c r="I126" s="130"/>
      <c r="J126" s="130"/>
      <c r="K126" s="130"/>
      <c r="L126" s="130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</row>
    <row r="127" spans="2:24" ht="12" customHeight="1" x14ac:dyDescent="0.2">
      <c r="B127" s="130"/>
      <c r="C127" s="130"/>
      <c r="D127" s="130"/>
      <c r="E127" s="130"/>
      <c r="F127" s="130"/>
      <c r="G127" s="130"/>
      <c r="H127" s="130"/>
      <c r="I127" s="130"/>
      <c r="J127" s="130"/>
      <c r="K127" s="130"/>
      <c r="L127" s="130"/>
      <c r="M127" s="130"/>
      <c r="N127" s="130"/>
      <c r="O127" s="130"/>
      <c r="P127" s="130"/>
      <c r="Q127" s="130"/>
      <c r="R127" s="130"/>
      <c r="S127" s="130"/>
      <c r="T127" s="130"/>
      <c r="U127" s="130"/>
      <c r="V127" s="130"/>
      <c r="W127" s="130"/>
      <c r="X127" s="130"/>
    </row>
    <row r="128" spans="2:24" ht="12" customHeight="1" x14ac:dyDescent="0.2">
      <c r="B128" s="130"/>
      <c r="C128" s="130"/>
      <c r="D128" s="130"/>
      <c r="E128" s="130"/>
      <c r="F128" s="130"/>
      <c r="G128" s="130"/>
      <c r="H128" s="130"/>
      <c r="I128" s="130"/>
      <c r="J128" s="130"/>
      <c r="K128" s="130"/>
      <c r="L128" s="130"/>
      <c r="M128" s="130"/>
      <c r="N128" s="130"/>
      <c r="O128" s="130"/>
      <c r="P128" s="130"/>
      <c r="Q128" s="130"/>
      <c r="R128" s="130"/>
      <c r="S128" s="130"/>
      <c r="T128" s="130"/>
      <c r="U128" s="130"/>
      <c r="V128" s="130"/>
      <c r="W128" s="130"/>
      <c r="X128" s="130"/>
    </row>
    <row r="129" spans="2:24" ht="12" customHeight="1" x14ac:dyDescent="0.2">
      <c r="B129" s="130"/>
      <c r="C129" s="130"/>
      <c r="D129" s="130"/>
      <c r="E129" s="130"/>
      <c r="F129" s="130"/>
      <c r="G129" s="130"/>
      <c r="H129" s="130"/>
      <c r="I129" s="130"/>
      <c r="J129" s="130"/>
      <c r="K129" s="130"/>
      <c r="L129" s="130"/>
      <c r="M129" s="130"/>
      <c r="N129" s="130"/>
      <c r="O129" s="130"/>
      <c r="P129" s="130"/>
      <c r="Q129" s="130"/>
      <c r="R129" s="130"/>
      <c r="S129" s="130"/>
      <c r="T129" s="130"/>
      <c r="U129" s="130"/>
      <c r="V129" s="130"/>
      <c r="W129" s="130"/>
      <c r="X129" s="130"/>
    </row>
    <row r="130" spans="2:24" ht="12" customHeight="1" x14ac:dyDescent="0.2">
      <c r="B130" s="130"/>
      <c r="C130" s="130"/>
      <c r="D130" s="130"/>
      <c r="E130" s="130"/>
      <c r="F130" s="130"/>
      <c r="G130" s="130"/>
      <c r="H130" s="130"/>
      <c r="I130" s="130"/>
      <c r="J130" s="130"/>
      <c r="K130" s="130"/>
      <c r="L130" s="130"/>
      <c r="M130" s="130"/>
      <c r="N130" s="130"/>
      <c r="O130" s="130"/>
      <c r="P130" s="130"/>
      <c r="Q130" s="130"/>
      <c r="R130" s="130"/>
      <c r="S130" s="130"/>
      <c r="T130" s="130"/>
      <c r="U130" s="130"/>
      <c r="V130" s="130"/>
      <c r="W130" s="130"/>
      <c r="X130" s="130"/>
    </row>
    <row r="131" spans="2:24" ht="12" customHeight="1" x14ac:dyDescent="0.2">
      <c r="B131" s="130"/>
      <c r="C131" s="130"/>
      <c r="D131" s="130"/>
      <c r="E131" s="130"/>
      <c r="F131" s="130"/>
      <c r="G131" s="130"/>
      <c r="H131" s="130"/>
      <c r="I131" s="130"/>
      <c r="J131" s="130"/>
      <c r="K131" s="130"/>
      <c r="L131" s="130"/>
      <c r="M131" s="130"/>
      <c r="N131" s="130"/>
      <c r="O131" s="130"/>
      <c r="P131" s="130"/>
      <c r="Q131" s="130"/>
      <c r="R131" s="130"/>
      <c r="S131" s="130"/>
      <c r="T131" s="130"/>
      <c r="U131" s="130"/>
      <c r="V131" s="130"/>
      <c r="W131" s="130"/>
      <c r="X131" s="130"/>
    </row>
    <row r="132" spans="2:24" ht="12" customHeight="1" x14ac:dyDescent="0.2">
      <c r="B132" s="130"/>
      <c r="C132" s="130"/>
      <c r="D132" s="130"/>
      <c r="E132" s="130"/>
      <c r="F132" s="130"/>
      <c r="G132" s="130"/>
      <c r="H132" s="130"/>
      <c r="I132" s="130"/>
      <c r="J132" s="130"/>
      <c r="K132" s="130"/>
      <c r="L132" s="130"/>
      <c r="M132" s="130"/>
      <c r="N132" s="130"/>
      <c r="O132" s="130"/>
      <c r="P132" s="130"/>
      <c r="Q132" s="130"/>
      <c r="R132" s="130"/>
      <c r="S132" s="130"/>
      <c r="T132" s="130"/>
      <c r="U132" s="130"/>
      <c r="V132" s="130"/>
      <c r="W132" s="130"/>
      <c r="X132" s="130"/>
    </row>
    <row r="133" spans="2:24" ht="12" customHeight="1" x14ac:dyDescent="0.2">
      <c r="B133" s="130"/>
      <c r="C133" s="130"/>
      <c r="D133" s="130"/>
      <c r="E133" s="130"/>
      <c r="F133" s="130"/>
      <c r="G133" s="130"/>
      <c r="H133" s="130"/>
      <c r="I133" s="130"/>
      <c r="J133" s="130"/>
      <c r="K133" s="130"/>
      <c r="L133" s="130"/>
      <c r="M133" s="130"/>
      <c r="N133" s="130"/>
      <c r="O133" s="130"/>
      <c r="P133" s="130"/>
      <c r="Q133" s="130"/>
      <c r="R133" s="130"/>
      <c r="S133" s="130"/>
      <c r="T133" s="130"/>
      <c r="U133" s="130"/>
      <c r="V133" s="130"/>
      <c r="W133" s="130"/>
      <c r="X133" s="130"/>
    </row>
    <row r="134" spans="2:24" ht="12" customHeight="1" x14ac:dyDescent="0.2">
      <c r="B134" s="130"/>
      <c r="C134" s="130"/>
      <c r="D134" s="130"/>
      <c r="E134" s="130"/>
      <c r="F134" s="130"/>
      <c r="G134" s="130"/>
      <c r="H134" s="130"/>
      <c r="I134" s="130"/>
      <c r="J134" s="130"/>
      <c r="K134" s="130"/>
      <c r="L134" s="130"/>
      <c r="M134" s="130"/>
      <c r="N134" s="130"/>
      <c r="O134" s="130"/>
      <c r="P134" s="130"/>
      <c r="Q134" s="130"/>
      <c r="R134" s="130"/>
      <c r="S134" s="130"/>
      <c r="T134" s="130"/>
      <c r="U134" s="130"/>
      <c r="V134" s="130"/>
      <c r="W134" s="130"/>
      <c r="X134" s="130"/>
    </row>
    <row r="135" spans="2:24" ht="12" customHeight="1" x14ac:dyDescent="0.2">
      <c r="B135" s="130"/>
      <c r="C135" s="130"/>
      <c r="D135" s="130"/>
      <c r="E135" s="130"/>
      <c r="F135" s="130"/>
      <c r="G135" s="130"/>
      <c r="H135" s="130"/>
      <c r="I135" s="130"/>
      <c r="J135" s="130"/>
      <c r="K135" s="130"/>
      <c r="L135" s="130"/>
      <c r="M135" s="130"/>
      <c r="N135" s="130"/>
      <c r="O135" s="130"/>
      <c r="P135" s="130"/>
      <c r="Q135" s="130"/>
      <c r="R135" s="130"/>
      <c r="S135" s="130"/>
      <c r="T135" s="130"/>
      <c r="U135" s="130"/>
      <c r="V135" s="130"/>
      <c r="W135" s="130"/>
      <c r="X135" s="130"/>
    </row>
    <row r="136" spans="2:24" ht="12" customHeight="1" x14ac:dyDescent="0.2">
      <c r="B136" s="130"/>
      <c r="C136" s="130"/>
      <c r="D136" s="130"/>
      <c r="E136" s="130"/>
      <c r="F136" s="130"/>
      <c r="G136" s="130"/>
      <c r="H136" s="130"/>
      <c r="I136" s="130"/>
      <c r="J136" s="130"/>
      <c r="K136" s="130"/>
      <c r="L136" s="130"/>
      <c r="M136" s="130"/>
      <c r="N136" s="130"/>
      <c r="O136" s="130"/>
      <c r="P136" s="130"/>
      <c r="Q136" s="130"/>
      <c r="R136" s="130"/>
      <c r="S136" s="130"/>
      <c r="T136" s="130"/>
      <c r="U136" s="130"/>
      <c r="V136" s="130"/>
      <c r="W136" s="130"/>
      <c r="X136" s="130"/>
    </row>
    <row r="137" spans="2:24" ht="12" customHeight="1" x14ac:dyDescent="0.2">
      <c r="B137" s="130"/>
      <c r="C137" s="130"/>
      <c r="D137" s="130"/>
      <c r="E137" s="130"/>
      <c r="F137" s="130"/>
      <c r="G137" s="130"/>
      <c r="H137" s="130"/>
      <c r="I137" s="130"/>
      <c r="J137" s="130"/>
      <c r="K137" s="130"/>
      <c r="L137" s="130"/>
      <c r="M137" s="130"/>
      <c r="N137" s="130"/>
      <c r="O137" s="130"/>
      <c r="P137" s="130"/>
      <c r="Q137" s="130"/>
      <c r="R137" s="130"/>
      <c r="S137" s="130"/>
      <c r="T137" s="130"/>
      <c r="U137" s="130"/>
      <c r="V137" s="130"/>
      <c r="W137" s="130"/>
      <c r="X137" s="130"/>
    </row>
    <row r="138" spans="2:24" ht="12" customHeight="1" x14ac:dyDescent="0.2">
      <c r="B138" s="130"/>
      <c r="C138" s="130"/>
      <c r="D138" s="130"/>
      <c r="E138" s="130"/>
      <c r="F138" s="130"/>
      <c r="G138" s="130"/>
      <c r="H138" s="130"/>
      <c r="I138" s="130"/>
      <c r="J138" s="130"/>
      <c r="K138" s="130"/>
      <c r="L138" s="130"/>
      <c r="M138" s="130"/>
      <c r="N138" s="130"/>
      <c r="O138" s="130"/>
      <c r="P138" s="130"/>
      <c r="Q138" s="130"/>
      <c r="R138" s="130"/>
      <c r="S138" s="130"/>
      <c r="T138" s="130"/>
      <c r="U138" s="130"/>
      <c r="V138" s="130"/>
      <c r="W138" s="130"/>
      <c r="X138" s="130"/>
    </row>
    <row r="139" spans="2:24" ht="12" customHeight="1" x14ac:dyDescent="0.2">
      <c r="B139" s="130"/>
      <c r="C139" s="130"/>
      <c r="D139" s="130"/>
      <c r="E139" s="130"/>
      <c r="F139" s="130"/>
      <c r="G139" s="130"/>
      <c r="H139" s="130"/>
      <c r="I139" s="130"/>
      <c r="J139" s="130"/>
      <c r="K139" s="130"/>
      <c r="L139" s="130"/>
      <c r="M139" s="130"/>
      <c r="N139" s="130"/>
      <c r="O139" s="130"/>
      <c r="P139" s="130"/>
      <c r="Q139" s="130"/>
      <c r="R139" s="130"/>
      <c r="S139" s="130"/>
      <c r="T139" s="130"/>
      <c r="U139" s="130"/>
      <c r="V139" s="130"/>
      <c r="W139" s="130"/>
      <c r="X139" s="130"/>
    </row>
    <row r="140" spans="2:24" ht="12" customHeight="1" x14ac:dyDescent="0.2">
      <c r="B140" s="130"/>
      <c r="C140" s="130"/>
      <c r="D140" s="130"/>
      <c r="E140" s="130"/>
      <c r="F140" s="130"/>
      <c r="G140" s="130"/>
      <c r="H140" s="130"/>
      <c r="I140" s="130"/>
      <c r="J140" s="130"/>
      <c r="K140" s="130"/>
      <c r="L140" s="130"/>
      <c r="M140" s="130"/>
      <c r="N140" s="130"/>
      <c r="O140" s="130"/>
      <c r="P140" s="130"/>
      <c r="Q140" s="130"/>
      <c r="R140" s="130"/>
      <c r="S140" s="130"/>
      <c r="T140" s="130"/>
      <c r="U140" s="130"/>
      <c r="V140" s="130"/>
      <c r="W140" s="130"/>
      <c r="X140" s="130"/>
    </row>
    <row r="141" spans="2:24" ht="12" customHeight="1" x14ac:dyDescent="0.2">
      <c r="B141" s="130"/>
      <c r="C141" s="130"/>
      <c r="D141" s="130"/>
      <c r="E141" s="130"/>
      <c r="F141" s="130"/>
      <c r="G141" s="130"/>
      <c r="H141" s="130"/>
      <c r="I141" s="130"/>
      <c r="J141" s="130"/>
      <c r="K141" s="130"/>
      <c r="L141" s="130"/>
      <c r="M141" s="130"/>
      <c r="N141" s="130"/>
      <c r="O141" s="130"/>
      <c r="P141" s="130"/>
      <c r="Q141" s="130"/>
      <c r="R141" s="130"/>
      <c r="S141" s="130"/>
      <c r="T141" s="130"/>
      <c r="U141" s="130"/>
      <c r="V141" s="130"/>
      <c r="W141" s="130"/>
      <c r="X141" s="130"/>
    </row>
    <row r="142" spans="2:24" ht="12" customHeight="1" x14ac:dyDescent="0.2">
      <c r="B142" s="130"/>
      <c r="C142" s="130"/>
      <c r="D142" s="130"/>
      <c r="E142" s="130"/>
      <c r="F142" s="130"/>
      <c r="G142" s="130"/>
      <c r="H142" s="130"/>
      <c r="I142" s="130"/>
      <c r="J142" s="130"/>
      <c r="K142" s="130"/>
      <c r="L142" s="130"/>
      <c r="M142" s="130"/>
      <c r="N142" s="130"/>
      <c r="O142" s="130"/>
      <c r="P142" s="130"/>
      <c r="Q142" s="130"/>
      <c r="R142" s="130"/>
      <c r="S142" s="130"/>
      <c r="T142" s="130"/>
      <c r="U142" s="130"/>
      <c r="V142" s="130"/>
      <c r="W142" s="130"/>
      <c r="X142" s="130"/>
    </row>
    <row r="143" spans="2:24" ht="12" customHeight="1" x14ac:dyDescent="0.2">
      <c r="B143" s="130"/>
      <c r="C143" s="130"/>
      <c r="D143" s="130"/>
      <c r="E143" s="130"/>
      <c r="F143" s="130"/>
      <c r="G143" s="130"/>
      <c r="H143" s="130"/>
      <c r="I143" s="130"/>
      <c r="J143" s="130"/>
      <c r="K143" s="130"/>
      <c r="L143" s="130"/>
      <c r="M143" s="130"/>
      <c r="N143" s="130"/>
      <c r="O143" s="130"/>
      <c r="P143" s="130"/>
      <c r="Q143" s="130"/>
      <c r="R143" s="130"/>
      <c r="S143" s="130"/>
      <c r="T143" s="130"/>
      <c r="U143" s="130"/>
      <c r="V143" s="130"/>
      <c r="W143" s="130"/>
      <c r="X143" s="130"/>
    </row>
    <row r="144" spans="2:24" ht="12" customHeight="1" x14ac:dyDescent="0.2">
      <c r="B144" s="130"/>
      <c r="C144" s="130"/>
      <c r="D144" s="130"/>
      <c r="E144" s="130"/>
      <c r="F144" s="130"/>
      <c r="G144" s="130"/>
      <c r="H144" s="130"/>
      <c r="I144" s="130"/>
      <c r="J144" s="130"/>
      <c r="K144" s="130"/>
      <c r="L144" s="130"/>
      <c r="M144" s="130"/>
      <c r="N144" s="130"/>
      <c r="O144" s="130"/>
      <c r="P144" s="130"/>
      <c r="Q144" s="130"/>
      <c r="R144" s="130"/>
      <c r="S144" s="130"/>
      <c r="T144" s="130"/>
      <c r="U144" s="130"/>
      <c r="V144" s="130"/>
      <c r="W144" s="130"/>
      <c r="X144" s="130"/>
    </row>
    <row r="145" spans="2:24" ht="12" customHeight="1" x14ac:dyDescent="0.2">
      <c r="B145" s="130"/>
      <c r="C145" s="130"/>
      <c r="D145" s="130"/>
      <c r="E145" s="130"/>
      <c r="F145" s="130"/>
      <c r="G145" s="130"/>
      <c r="H145" s="130"/>
      <c r="I145" s="130"/>
      <c r="J145" s="130"/>
      <c r="K145" s="130"/>
      <c r="L145" s="130"/>
      <c r="M145" s="130"/>
      <c r="N145" s="130"/>
      <c r="O145" s="130"/>
      <c r="P145" s="130"/>
      <c r="Q145" s="130"/>
      <c r="R145" s="130"/>
      <c r="S145" s="130"/>
      <c r="T145" s="130"/>
      <c r="U145" s="130"/>
      <c r="V145" s="130"/>
      <c r="W145" s="130"/>
      <c r="X145" s="130"/>
    </row>
    <row r="146" spans="2:24" ht="12" customHeight="1" x14ac:dyDescent="0.2">
      <c r="B146" s="130"/>
      <c r="C146" s="130"/>
      <c r="D146" s="130"/>
      <c r="E146" s="130"/>
      <c r="F146" s="130"/>
      <c r="G146" s="130"/>
      <c r="H146" s="130"/>
      <c r="I146" s="130"/>
      <c r="J146" s="130"/>
      <c r="K146" s="130"/>
      <c r="L146" s="130"/>
      <c r="M146" s="130"/>
      <c r="N146" s="130"/>
      <c r="O146" s="130"/>
      <c r="P146" s="130"/>
      <c r="Q146" s="130"/>
      <c r="R146" s="130"/>
      <c r="S146" s="130"/>
      <c r="T146" s="130"/>
      <c r="U146" s="130"/>
      <c r="V146" s="130"/>
      <c r="W146" s="130"/>
      <c r="X146" s="130"/>
    </row>
    <row r="147" spans="2:24" ht="12" customHeight="1" x14ac:dyDescent="0.2">
      <c r="B147" s="130"/>
      <c r="C147" s="130"/>
      <c r="D147" s="130"/>
      <c r="E147" s="130"/>
      <c r="F147" s="130"/>
      <c r="G147" s="130"/>
      <c r="H147" s="130"/>
      <c r="I147" s="130"/>
      <c r="J147" s="130"/>
      <c r="K147" s="130"/>
      <c r="L147" s="130"/>
      <c r="M147" s="130"/>
      <c r="N147" s="130"/>
      <c r="O147" s="130"/>
      <c r="P147" s="130"/>
      <c r="Q147" s="130"/>
      <c r="R147" s="130"/>
      <c r="S147" s="130"/>
      <c r="T147" s="130"/>
      <c r="U147" s="130"/>
      <c r="V147" s="130"/>
      <c r="W147" s="130"/>
      <c r="X147" s="130"/>
    </row>
    <row r="148" spans="2:24" ht="12" customHeight="1" x14ac:dyDescent="0.2">
      <c r="B148" s="130"/>
      <c r="C148" s="130"/>
      <c r="D148" s="130"/>
      <c r="E148" s="130"/>
      <c r="F148" s="130"/>
      <c r="G148" s="130"/>
      <c r="H148" s="130"/>
      <c r="I148" s="130"/>
      <c r="J148" s="130"/>
      <c r="K148" s="130"/>
      <c r="L148" s="130"/>
      <c r="M148" s="130"/>
      <c r="N148" s="130"/>
      <c r="O148" s="130"/>
      <c r="P148" s="130"/>
      <c r="Q148" s="130"/>
      <c r="R148" s="130"/>
      <c r="S148" s="130"/>
      <c r="T148" s="130"/>
      <c r="U148" s="130"/>
      <c r="V148" s="130"/>
      <c r="W148" s="130"/>
      <c r="X148" s="130"/>
    </row>
    <row r="149" spans="2:24" ht="12" customHeight="1" x14ac:dyDescent="0.2">
      <c r="B149" s="130"/>
      <c r="C149" s="130"/>
      <c r="D149" s="130"/>
      <c r="E149" s="130"/>
      <c r="F149" s="130"/>
      <c r="G149" s="130"/>
      <c r="H149" s="130"/>
      <c r="I149" s="130"/>
      <c r="J149" s="130"/>
      <c r="K149" s="130"/>
      <c r="L149" s="130"/>
      <c r="M149" s="130"/>
      <c r="N149" s="130"/>
      <c r="O149" s="130"/>
      <c r="P149" s="130"/>
      <c r="Q149" s="130"/>
      <c r="R149" s="130"/>
      <c r="S149" s="130"/>
      <c r="T149" s="130"/>
      <c r="U149" s="130"/>
      <c r="V149" s="130"/>
      <c r="W149" s="130"/>
      <c r="X149" s="130"/>
    </row>
    <row r="150" spans="2:24" ht="12" customHeight="1" x14ac:dyDescent="0.2">
      <c r="B150" s="130"/>
      <c r="C150" s="130"/>
      <c r="D150" s="130"/>
      <c r="E150" s="130"/>
      <c r="F150" s="130"/>
      <c r="G150" s="130"/>
      <c r="H150" s="130"/>
      <c r="I150" s="130"/>
      <c r="J150" s="130"/>
      <c r="K150" s="130"/>
      <c r="L150" s="130"/>
      <c r="M150" s="130"/>
      <c r="N150" s="130"/>
      <c r="O150" s="130"/>
      <c r="P150" s="130"/>
      <c r="Q150" s="130"/>
      <c r="R150" s="130"/>
      <c r="S150" s="130"/>
      <c r="T150" s="130"/>
      <c r="U150" s="130"/>
      <c r="V150" s="130"/>
      <c r="W150" s="130"/>
      <c r="X150" s="130"/>
    </row>
    <row r="151" spans="2:24" ht="12" customHeight="1" x14ac:dyDescent="0.2">
      <c r="B151" s="130"/>
      <c r="C151" s="130"/>
      <c r="D151" s="130"/>
      <c r="E151" s="130"/>
      <c r="F151" s="130"/>
      <c r="G151" s="130"/>
      <c r="H151" s="130"/>
      <c r="I151" s="130"/>
      <c r="J151" s="130"/>
      <c r="K151" s="130"/>
      <c r="L151" s="130"/>
      <c r="M151" s="130"/>
      <c r="N151" s="130"/>
      <c r="O151" s="130"/>
      <c r="P151" s="130"/>
      <c r="Q151" s="130"/>
      <c r="R151" s="130"/>
      <c r="S151" s="130"/>
      <c r="T151" s="130"/>
      <c r="U151" s="130"/>
      <c r="V151" s="130"/>
      <c r="W151" s="130"/>
      <c r="X151" s="130"/>
    </row>
    <row r="152" spans="2:24" ht="12" customHeight="1" x14ac:dyDescent="0.2">
      <c r="B152" s="130"/>
      <c r="C152" s="130"/>
      <c r="D152" s="130"/>
      <c r="E152" s="130"/>
      <c r="F152" s="130"/>
      <c r="G152" s="130"/>
      <c r="H152" s="130"/>
      <c r="I152" s="130"/>
      <c r="J152" s="130"/>
      <c r="K152" s="130"/>
      <c r="L152" s="130"/>
      <c r="M152" s="130"/>
      <c r="N152" s="130"/>
      <c r="O152" s="130"/>
      <c r="P152" s="130"/>
      <c r="Q152" s="130"/>
      <c r="R152" s="130"/>
      <c r="S152" s="130"/>
      <c r="T152" s="130"/>
      <c r="U152" s="130"/>
      <c r="V152" s="130"/>
      <c r="W152" s="130"/>
      <c r="X152" s="130"/>
    </row>
    <row r="153" spans="2:24" ht="12" customHeight="1" x14ac:dyDescent="0.2">
      <c r="B153" s="130"/>
      <c r="C153" s="130"/>
      <c r="D153" s="130"/>
      <c r="E153" s="130"/>
      <c r="F153" s="130"/>
      <c r="G153" s="130"/>
      <c r="H153" s="130"/>
      <c r="I153" s="130"/>
      <c r="J153" s="130"/>
      <c r="K153" s="130"/>
      <c r="L153" s="130"/>
      <c r="M153" s="130"/>
      <c r="N153" s="130"/>
      <c r="O153" s="130"/>
      <c r="P153" s="130"/>
      <c r="Q153" s="130"/>
      <c r="R153" s="130"/>
      <c r="S153" s="130"/>
      <c r="T153" s="130"/>
      <c r="U153" s="130"/>
      <c r="V153" s="130"/>
      <c r="W153" s="130"/>
      <c r="X153" s="130"/>
    </row>
    <row r="154" spans="2:24" ht="12" customHeight="1" x14ac:dyDescent="0.2">
      <c r="B154" s="130"/>
      <c r="C154" s="130"/>
      <c r="D154" s="130"/>
      <c r="E154" s="130"/>
      <c r="F154" s="130"/>
      <c r="G154" s="130"/>
      <c r="H154" s="130"/>
      <c r="I154" s="130"/>
      <c r="J154" s="130"/>
      <c r="K154" s="130"/>
      <c r="L154" s="130"/>
      <c r="M154" s="130"/>
      <c r="N154" s="130"/>
      <c r="O154" s="130"/>
      <c r="P154" s="130"/>
      <c r="Q154" s="130"/>
      <c r="R154" s="130"/>
      <c r="S154" s="130"/>
      <c r="T154" s="130"/>
      <c r="U154" s="130"/>
      <c r="V154" s="130"/>
      <c r="W154" s="130"/>
      <c r="X154" s="130"/>
    </row>
    <row r="155" spans="2:24" ht="12" customHeight="1" x14ac:dyDescent="0.2">
      <c r="B155" s="130"/>
      <c r="C155" s="130"/>
      <c r="D155" s="130"/>
      <c r="E155" s="130"/>
      <c r="F155" s="130"/>
      <c r="G155" s="130"/>
      <c r="H155" s="130"/>
      <c r="I155" s="130"/>
      <c r="J155" s="130"/>
      <c r="K155" s="130"/>
      <c r="L155" s="130"/>
      <c r="M155" s="130"/>
      <c r="N155" s="130"/>
      <c r="O155" s="130"/>
      <c r="P155" s="130"/>
      <c r="Q155" s="130"/>
      <c r="R155" s="130"/>
      <c r="S155" s="130"/>
      <c r="T155" s="130"/>
      <c r="U155" s="130"/>
      <c r="V155" s="130"/>
      <c r="W155" s="130"/>
      <c r="X155" s="130"/>
    </row>
    <row r="156" spans="2:24" ht="12" customHeight="1" x14ac:dyDescent="0.2">
      <c r="B156" s="130"/>
      <c r="C156" s="130"/>
      <c r="D156" s="130"/>
      <c r="E156" s="130"/>
      <c r="F156" s="130"/>
      <c r="G156" s="130"/>
      <c r="H156" s="130"/>
      <c r="I156" s="130"/>
      <c r="J156" s="130"/>
      <c r="K156" s="130"/>
      <c r="L156" s="130"/>
      <c r="M156" s="130"/>
      <c r="N156" s="130"/>
      <c r="O156" s="130"/>
      <c r="P156" s="130"/>
      <c r="Q156" s="130"/>
      <c r="R156" s="130"/>
      <c r="S156" s="130"/>
      <c r="T156" s="130"/>
      <c r="U156" s="130"/>
      <c r="V156" s="130"/>
      <c r="W156" s="130"/>
      <c r="X156" s="130"/>
    </row>
    <row r="157" spans="2:24" ht="12" customHeight="1" x14ac:dyDescent="0.2">
      <c r="B157" s="130"/>
      <c r="C157" s="130"/>
      <c r="D157" s="130"/>
      <c r="E157" s="130"/>
      <c r="F157" s="130"/>
      <c r="G157" s="130"/>
      <c r="H157" s="130"/>
      <c r="I157" s="130"/>
      <c r="J157" s="130"/>
      <c r="K157" s="130"/>
      <c r="L157" s="130"/>
      <c r="M157" s="130"/>
      <c r="N157" s="130"/>
      <c r="O157" s="130"/>
      <c r="P157" s="130"/>
      <c r="Q157" s="130"/>
      <c r="R157" s="130"/>
      <c r="S157" s="130"/>
      <c r="T157" s="130"/>
      <c r="U157" s="130"/>
      <c r="V157" s="130"/>
      <c r="W157" s="130"/>
      <c r="X157" s="130"/>
    </row>
    <row r="158" spans="2:24" ht="12" customHeight="1" x14ac:dyDescent="0.2">
      <c r="B158" s="130"/>
      <c r="C158" s="130"/>
      <c r="D158" s="130"/>
      <c r="E158" s="130"/>
      <c r="F158" s="130"/>
      <c r="G158" s="130"/>
      <c r="H158" s="130"/>
      <c r="I158" s="130"/>
      <c r="J158" s="130"/>
      <c r="K158" s="130"/>
      <c r="L158" s="130"/>
      <c r="M158" s="130"/>
      <c r="N158" s="130"/>
      <c r="O158" s="130"/>
      <c r="P158" s="130"/>
      <c r="Q158" s="130"/>
      <c r="R158" s="130"/>
      <c r="S158" s="130"/>
      <c r="T158" s="130"/>
      <c r="U158" s="130"/>
      <c r="V158" s="130"/>
      <c r="W158" s="130"/>
      <c r="X158" s="130"/>
    </row>
    <row r="159" spans="2:24" ht="12" customHeight="1" x14ac:dyDescent="0.2">
      <c r="B159" s="130"/>
      <c r="C159" s="130"/>
      <c r="D159" s="130"/>
      <c r="E159" s="130"/>
      <c r="F159" s="130"/>
      <c r="G159" s="130"/>
      <c r="H159" s="130"/>
      <c r="I159" s="130"/>
      <c r="J159" s="130"/>
      <c r="K159" s="130"/>
      <c r="L159" s="130"/>
      <c r="M159" s="130"/>
      <c r="N159" s="130"/>
      <c r="O159" s="130"/>
      <c r="P159" s="130"/>
      <c r="Q159" s="130"/>
      <c r="R159" s="130"/>
      <c r="S159" s="130"/>
      <c r="T159" s="130"/>
      <c r="U159" s="130"/>
      <c r="V159" s="130"/>
      <c r="W159" s="130"/>
      <c r="X159" s="130"/>
    </row>
    <row r="160" spans="2:24" ht="12" customHeight="1" x14ac:dyDescent="0.2">
      <c r="B160" s="130"/>
      <c r="C160" s="130"/>
      <c r="D160" s="130"/>
      <c r="E160" s="130"/>
      <c r="F160" s="130"/>
      <c r="G160" s="130"/>
      <c r="H160" s="130"/>
      <c r="I160" s="130"/>
      <c r="J160" s="130"/>
      <c r="K160" s="130"/>
      <c r="L160" s="130"/>
      <c r="M160" s="130"/>
      <c r="N160" s="130"/>
      <c r="O160" s="130"/>
      <c r="P160" s="130"/>
      <c r="Q160" s="130"/>
      <c r="R160" s="130"/>
      <c r="S160" s="130"/>
      <c r="T160" s="130"/>
      <c r="U160" s="130"/>
      <c r="V160" s="130"/>
      <c r="W160" s="130"/>
      <c r="X160" s="130"/>
    </row>
    <row r="161" spans="2:24" ht="12" customHeight="1" x14ac:dyDescent="0.2">
      <c r="B161" s="130"/>
      <c r="C161" s="130"/>
      <c r="D161" s="130"/>
      <c r="E161" s="130"/>
      <c r="F161" s="130"/>
      <c r="G161" s="130"/>
      <c r="H161" s="130"/>
      <c r="I161" s="130"/>
      <c r="J161" s="130"/>
      <c r="K161" s="130"/>
      <c r="L161" s="130"/>
      <c r="M161" s="130"/>
      <c r="N161" s="130"/>
      <c r="O161" s="130"/>
      <c r="P161" s="130"/>
      <c r="Q161" s="130"/>
      <c r="R161" s="130"/>
      <c r="S161" s="130"/>
      <c r="T161" s="130"/>
      <c r="U161" s="130"/>
      <c r="V161" s="130"/>
      <c r="W161" s="130"/>
      <c r="X161" s="130"/>
    </row>
    <row r="162" spans="2:24" ht="12" customHeight="1" x14ac:dyDescent="0.2">
      <c r="B162" s="130"/>
      <c r="C162" s="130"/>
      <c r="D162" s="130"/>
      <c r="E162" s="130"/>
      <c r="F162" s="130"/>
      <c r="G162" s="130"/>
      <c r="H162" s="130"/>
      <c r="I162" s="130"/>
      <c r="J162" s="130"/>
      <c r="K162" s="130"/>
      <c r="L162" s="130"/>
      <c r="M162" s="130"/>
      <c r="N162" s="130"/>
      <c r="O162" s="130"/>
      <c r="P162" s="130"/>
      <c r="Q162" s="130"/>
      <c r="R162" s="130"/>
      <c r="S162" s="130"/>
      <c r="T162" s="130"/>
      <c r="U162" s="130"/>
      <c r="V162" s="130"/>
      <c r="W162" s="130"/>
      <c r="X162" s="130"/>
    </row>
    <row r="163" spans="2:24" ht="12" customHeight="1" x14ac:dyDescent="0.2">
      <c r="B163" s="130"/>
      <c r="C163" s="130"/>
      <c r="D163" s="130"/>
      <c r="E163" s="130"/>
      <c r="F163" s="130"/>
      <c r="G163" s="130"/>
      <c r="H163" s="130"/>
      <c r="I163" s="130"/>
      <c r="J163" s="130"/>
      <c r="K163" s="130"/>
      <c r="L163" s="130"/>
      <c r="M163" s="130"/>
      <c r="N163" s="130"/>
      <c r="O163" s="130"/>
      <c r="P163" s="130"/>
      <c r="Q163" s="130"/>
      <c r="R163" s="130"/>
      <c r="S163" s="130"/>
      <c r="T163" s="130"/>
      <c r="U163" s="130"/>
      <c r="V163" s="130"/>
      <c r="W163" s="130"/>
      <c r="X163" s="130"/>
    </row>
    <row r="164" spans="2:24" ht="12" customHeight="1" x14ac:dyDescent="0.2">
      <c r="B164" s="130"/>
      <c r="C164" s="130"/>
      <c r="D164" s="130"/>
      <c r="E164" s="130"/>
      <c r="F164" s="130"/>
      <c r="G164" s="130"/>
      <c r="H164" s="130"/>
      <c r="I164" s="130"/>
      <c r="J164" s="130"/>
      <c r="K164" s="130"/>
      <c r="L164" s="130"/>
      <c r="M164" s="130"/>
      <c r="N164" s="130"/>
      <c r="O164" s="130"/>
      <c r="P164" s="130"/>
      <c r="Q164" s="130"/>
      <c r="R164" s="130"/>
      <c r="S164" s="130"/>
      <c r="T164" s="130"/>
      <c r="U164" s="130"/>
      <c r="V164" s="130"/>
      <c r="W164" s="130"/>
      <c r="X164" s="130"/>
    </row>
    <row r="165" spans="2:24" ht="12" customHeight="1" x14ac:dyDescent="0.2">
      <c r="B165" s="130"/>
      <c r="C165" s="130"/>
      <c r="D165" s="130"/>
      <c r="E165" s="130"/>
      <c r="F165" s="130"/>
      <c r="G165" s="130"/>
      <c r="H165" s="130"/>
      <c r="I165" s="130"/>
      <c r="J165" s="130"/>
      <c r="K165" s="130"/>
      <c r="L165" s="130"/>
      <c r="M165" s="130"/>
      <c r="N165" s="130"/>
      <c r="O165" s="130"/>
      <c r="P165" s="130"/>
      <c r="Q165" s="130"/>
      <c r="R165" s="130"/>
      <c r="S165" s="130"/>
      <c r="T165" s="130"/>
      <c r="U165" s="130"/>
      <c r="V165" s="130"/>
      <c r="W165" s="130"/>
      <c r="X165" s="130"/>
    </row>
    <row r="166" spans="2:24" ht="12" customHeight="1" x14ac:dyDescent="0.2">
      <c r="B166" s="130"/>
      <c r="C166" s="130"/>
      <c r="D166" s="130"/>
      <c r="E166" s="130"/>
      <c r="F166" s="130"/>
      <c r="G166" s="130"/>
      <c r="H166" s="130"/>
      <c r="I166" s="130"/>
      <c r="J166" s="130"/>
      <c r="K166" s="130"/>
      <c r="L166" s="130"/>
      <c r="M166" s="130"/>
      <c r="N166" s="130"/>
      <c r="O166" s="130"/>
      <c r="P166" s="130"/>
      <c r="Q166" s="130"/>
      <c r="R166" s="130"/>
      <c r="S166" s="130"/>
      <c r="T166" s="130"/>
      <c r="U166" s="130"/>
      <c r="V166" s="130"/>
      <c r="W166" s="130"/>
      <c r="X166" s="130"/>
    </row>
    <row r="167" spans="2:24" ht="12" customHeight="1" x14ac:dyDescent="0.2">
      <c r="B167" s="130"/>
      <c r="C167" s="130"/>
      <c r="D167" s="130"/>
      <c r="E167" s="130"/>
      <c r="F167" s="130"/>
      <c r="G167" s="130"/>
      <c r="H167" s="130"/>
      <c r="I167" s="130"/>
      <c r="J167" s="130"/>
      <c r="K167" s="130"/>
      <c r="L167" s="130"/>
      <c r="M167" s="130"/>
      <c r="N167" s="130"/>
      <c r="O167" s="130"/>
      <c r="P167" s="130"/>
      <c r="Q167" s="130"/>
      <c r="R167" s="130"/>
      <c r="S167" s="130"/>
      <c r="T167" s="130"/>
      <c r="U167" s="130"/>
      <c r="V167" s="130"/>
      <c r="W167" s="130"/>
      <c r="X167" s="130"/>
    </row>
    <row r="168" spans="2:24" ht="12" customHeight="1" x14ac:dyDescent="0.2">
      <c r="B168" s="130"/>
      <c r="C168" s="130"/>
      <c r="D168" s="130"/>
      <c r="E168" s="130"/>
      <c r="F168" s="130"/>
      <c r="G168" s="130"/>
      <c r="H168" s="130"/>
      <c r="I168" s="130"/>
      <c r="J168" s="130"/>
      <c r="K168" s="130"/>
      <c r="L168" s="130"/>
      <c r="M168" s="130"/>
      <c r="N168" s="130"/>
      <c r="O168" s="130"/>
      <c r="P168" s="130"/>
      <c r="Q168" s="130"/>
      <c r="R168" s="130"/>
      <c r="S168" s="130"/>
      <c r="T168" s="130"/>
      <c r="U168" s="130"/>
      <c r="V168" s="130"/>
      <c r="W168" s="130"/>
      <c r="X168" s="130"/>
    </row>
    <row r="169" spans="2:24" ht="12" customHeight="1" x14ac:dyDescent="0.2">
      <c r="B169" s="130"/>
      <c r="C169" s="130"/>
      <c r="D169" s="130"/>
      <c r="E169" s="130"/>
      <c r="F169" s="130"/>
      <c r="G169" s="130"/>
      <c r="H169" s="130"/>
      <c r="I169" s="130"/>
      <c r="J169" s="130"/>
      <c r="K169" s="130"/>
      <c r="L169" s="130"/>
      <c r="M169" s="130"/>
      <c r="N169" s="130"/>
      <c r="O169" s="130"/>
      <c r="P169" s="130"/>
      <c r="Q169" s="130"/>
      <c r="R169" s="130"/>
      <c r="S169" s="130"/>
      <c r="T169" s="130"/>
      <c r="U169" s="130"/>
      <c r="V169" s="130"/>
      <c r="W169" s="130"/>
      <c r="X169" s="130"/>
    </row>
    <row r="170" spans="2:24" ht="12" customHeight="1" x14ac:dyDescent="0.2">
      <c r="B170" s="130"/>
      <c r="C170" s="130"/>
      <c r="D170" s="130"/>
      <c r="E170" s="130"/>
      <c r="F170" s="130"/>
      <c r="G170" s="130"/>
      <c r="H170" s="130"/>
      <c r="I170" s="130"/>
      <c r="J170" s="130"/>
      <c r="K170" s="130"/>
      <c r="L170" s="130"/>
      <c r="M170" s="130"/>
      <c r="N170" s="130"/>
      <c r="O170" s="130"/>
      <c r="P170" s="130"/>
      <c r="Q170" s="130"/>
      <c r="R170" s="130"/>
      <c r="S170" s="130"/>
      <c r="T170" s="130"/>
      <c r="U170" s="130"/>
      <c r="V170" s="130"/>
      <c r="W170" s="130"/>
      <c r="X170" s="130"/>
    </row>
    <row r="171" spans="2:24" ht="12" customHeight="1" x14ac:dyDescent="0.2">
      <c r="B171" s="130"/>
      <c r="C171" s="130"/>
      <c r="D171" s="130"/>
      <c r="E171" s="130"/>
      <c r="F171" s="130"/>
      <c r="G171" s="130"/>
      <c r="H171" s="130"/>
      <c r="I171" s="130"/>
      <c r="J171" s="130"/>
      <c r="K171" s="130"/>
      <c r="L171" s="130"/>
      <c r="M171" s="130"/>
      <c r="N171" s="130"/>
      <c r="O171" s="130"/>
      <c r="P171" s="130"/>
      <c r="Q171" s="130"/>
      <c r="R171" s="130"/>
      <c r="S171" s="130"/>
      <c r="T171" s="130"/>
      <c r="U171" s="130"/>
      <c r="V171" s="130"/>
      <c r="W171" s="130"/>
      <c r="X171" s="130"/>
    </row>
    <row r="172" spans="2:24" ht="12" customHeight="1" x14ac:dyDescent="0.2">
      <c r="B172" s="130"/>
      <c r="C172" s="130"/>
      <c r="D172" s="130"/>
      <c r="E172" s="130"/>
      <c r="F172" s="130"/>
      <c r="G172" s="130"/>
      <c r="H172" s="130"/>
      <c r="I172" s="130"/>
      <c r="J172" s="130"/>
      <c r="K172" s="130"/>
      <c r="L172" s="130"/>
      <c r="M172" s="130"/>
      <c r="N172" s="130"/>
      <c r="O172" s="130"/>
      <c r="P172" s="130"/>
      <c r="Q172" s="130"/>
      <c r="R172" s="130"/>
      <c r="S172" s="130"/>
      <c r="T172" s="130"/>
      <c r="U172" s="130"/>
      <c r="V172" s="130"/>
      <c r="W172" s="130"/>
      <c r="X172" s="130"/>
    </row>
    <row r="173" spans="2:24" ht="12" customHeight="1" x14ac:dyDescent="0.2">
      <c r="B173" s="130"/>
      <c r="C173" s="130"/>
      <c r="D173" s="130"/>
      <c r="E173" s="130"/>
      <c r="F173" s="130"/>
      <c r="G173" s="130"/>
      <c r="H173" s="130"/>
      <c r="I173" s="130"/>
      <c r="J173" s="130"/>
      <c r="K173" s="130"/>
      <c r="L173" s="130"/>
      <c r="M173" s="130"/>
      <c r="N173" s="130"/>
      <c r="O173" s="130"/>
      <c r="P173" s="130"/>
      <c r="Q173" s="130"/>
      <c r="R173" s="130"/>
      <c r="S173" s="130"/>
      <c r="T173" s="130"/>
      <c r="U173" s="130"/>
      <c r="V173" s="130"/>
      <c r="W173" s="130"/>
      <c r="X173" s="130"/>
    </row>
    <row r="174" spans="2:24" ht="12" customHeight="1" x14ac:dyDescent="0.2">
      <c r="B174" s="130"/>
      <c r="C174" s="130"/>
      <c r="D174" s="130"/>
      <c r="E174" s="130"/>
      <c r="F174" s="130"/>
      <c r="G174" s="130"/>
      <c r="H174" s="130"/>
      <c r="I174" s="130"/>
      <c r="J174" s="130"/>
      <c r="K174" s="130"/>
      <c r="L174" s="130"/>
      <c r="M174" s="130"/>
      <c r="N174" s="130"/>
      <c r="O174" s="130"/>
      <c r="P174" s="130"/>
      <c r="Q174" s="130"/>
      <c r="R174" s="130"/>
      <c r="S174" s="130"/>
      <c r="T174" s="130"/>
      <c r="U174" s="130"/>
      <c r="V174" s="130"/>
      <c r="W174" s="130"/>
      <c r="X174" s="130"/>
    </row>
    <row r="175" spans="2:24" ht="12" customHeight="1" x14ac:dyDescent="0.2">
      <c r="B175" s="130"/>
      <c r="C175" s="130"/>
      <c r="D175" s="130"/>
      <c r="E175" s="130"/>
      <c r="F175" s="130"/>
      <c r="G175" s="130"/>
      <c r="H175" s="130"/>
      <c r="I175" s="130"/>
      <c r="J175" s="130"/>
      <c r="K175" s="130"/>
      <c r="L175" s="130"/>
      <c r="M175" s="130"/>
      <c r="N175" s="130"/>
      <c r="O175" s="130"/>
      <c r="P175" s="130"/>
      <c r="Q175" s="130"/>
      <c r="R175" s="130"/>
      <c r="S175" s="130"/>
      <c r="T175" s="130"/>
      <c r="U175" s="130"/>
      <c r="V175" s="130"/>
      <c r="W175" s="130"/>
      <c r="X175" s="130"/>
    </row>
    <row r="176" spans="2:24" ht="12" customHeight="1" x14ac:dyDescent="0.2">
      <c r="B176" s="130"/>
      <c r="C176" s="130"/>
      <c r="D176" s="130"/>
      <c r="E176" s="130"/>
      <c r="F176" s="130"/>
      <c r="G176" s="130"/>
      <c r="H176" s="130"/>
      <c r="I176" s="130"/>
      <c r="J176" s="130"/>
      <c r="K176" s="130"/>
      <c r="L176" s="130"/>
      <c r="M176" s="130"/>
      <c r="N176" s="130"/>
      <c r="O176" s="130"/>
      <c r="P176" s="130"/>
      <c r="Q176" s="130"/>
      <c r="R176" s="130"/>
      <c r="S176" s="130"/>
      <c r="T176" s="130"/>
      <c r="U176" s="130"/>
      <c r="V176" s="130"/>
      <c r="W176" s="130"/>
      <c r="X176" s="130"/>
    </row>
    <row r="177" spans="2:24" ht="12" customHeight="1" x14ac:dyDescent="0.2">
      <c r="B177" s="130"/>
      <c r="C177" s="130"/>
      <c r="D177" s="130"/>
      <c r="E177" s="130"/>
      <c r="F177" s="130"/>
      <c r="G177" s="130"/>
      <c r="H177" s="130"/>
      <c r="I177" s="130"/>
      <c r="J177" s="130"/>
      <c r="K177" s="130"/>
      <c r="L177" s="130"/>
      <c r="M177" s="130"/>
      <c r="N177" s="130"/>
      <c r="O177" s="130"/>
      <c r="P177" s="130"/>
      <c r="Q177" s="130"/>
      <c r="R177" s="130"/>
      <c r="S177" s="130"/>
      <c r="T177" s="130"/>
      <c r="U177" s="130"/>
      <c r="V177" s="130"/>
      <c r="W177" s="130"/>
      <c r="X177" s="130"/>
    </row>
    <row r="178" spans="2:24" ht="12" customHeight="1" x14ac:dyDescent="0.2">
      <c r="B178" s="130"/>
      <c r="C178" s="130"/>
      <c r="D178" s="130"/>
      <c r="E178" s="130"/>
      <c r="F178" s="130"/>
      <c r="G178" s="130"/>
      <c r="H178" s="130"/>
      <c r="I178" s="130"/>
      <c r="J178" s="130"/>
      <c r="K178" s="130"/>
      <c r="L178" s="130"/>
      <c r="M178" s="130"/>
      <c r="N178" s="130"/>
      <c r="O178" s="130"/>
      <c r="P178" s="130"/>
      <c r="Q178" s="130"/>
      <c r="R178" s="130"/>
      <c r="S178" s="130"/>
      <c r="T178" s="130"/>
      <c r="U178" s="130"/>
      <c r="V178" s="130"/>
      <c r="W178" s="130"/>
      <c r="X178" s="130"/>
    </row>
    <row r="179" spans="2:24" ht="12" customHeight="1" x14ac:dyDescent="0.2">
      <c r="B179" s="130"/>
      <c r="C179" s="130"/>
      <c r="D179" s="130"/>
      <c r="E179" s="130"/>
      <c r="F179" s="130"/>
      <c r="G179" s="130"/>
      <c r="H179" s="130"/>
      <c r="I179" s="130"/>
      <c r="J179" s="130"/>
      <c r="K179" s="130"/>
      <c r="L179" s="130"/>
      <c r="M179" s="130"/>
      <c r="N179" s="130"/>
      <c r="O179" s="130"/>
      <c r="P179" s="130"/>
      <c r="Q179" s="130"/>
      <c r="R179" s="130"/>
      <c r="S179" s="130"/>
      <c r="T179" s="130"/>
      <c r="U179" s="130"/>
      <c r="V179" s="130"/>
      <c r="W179" s="130"/>
      <c r="X179" s="130"/>
    </row>
    <row r="180" spans="2:24" ht="12" customHeight="1" x14ac:dyDescent="0.2">
      <c r="B180" s="130"/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  <c r="P180" s="130"/>
      <c r="Q180" s="130"/>
      <c r="R180" s="130"/>
      <c r="S180" s="130"/>
      <c r="T180" s="130"/>
      <c r="U180" s="130"/>
      <c r="V180" s="130"/>
      <c r="W180" s="130"/>
      <c r="X180" s="130"/>
    </row>
    <row r="181" spans="2:24" ht="12" customHeight="1" x14ac:dyDescent="0.2">
      <c r="B181" s="130"/>
      <c r="C181" s="130"/>
      <c r="D181" s="130"/>
      <c r="E181" s="130"/>
      <c r="F181" s="130"/>
      <c r="G181" s="130"/>
      <c r="H181" s="130"/>
      <c r="I181" s="130"/>
      <c r="J181" s="130"/>
      <c r="K181" s="130"/>
      <c r="L181" s="130"/>
      <c r="M181" s="130"/>
      <c r="N181" s="130"/>
      <c r="O181" s="130"/>
      <c r="P181" s="130"/>
      <c r="Q181" s="130"/>
      <c r="R181" s="130"/>
      <c r="S181" s="130"/>
      <c r="T181" s="130"/>
      <c r="U181" s="130"/>
      <c r="V181" s="130"/>
      <c r="W181" s="130"/>
      <c r="X181" s="130"/>
    </row>
    <row r="182" spans="2:24" ht="12" customHeight="1" x14ac:dyDescent="0.2">
      <c r="B182" s="130"/>
      <c r="C182" s="130"/>
      <c r="D182" s="130"/>
      <c r="E182" s="130"/>
      <c r="F182" s="130"/>
      <c r="G182" s="130"/>
      <c r="H182" s="130"/>
      <c r="I182" s="130"/>
      <c r="J182" s="130"/>
      <c r="K182" s="130"/>
      <c r="L182" s="130"/>
      <c r="M182" s="130"/>
      <c r="N182" s="130"/>
      <c r="O182" s="130"/>
      <c r="P182" s="130"/>
      <c r="Q182" s="130"/>
      <c r="R182" s="130"/>
      <c r="S182" s="130"/>
      <c r="T182" s="130"/>
      <c r="U182" s="130"/>
      <c r="V182" s="130"/>
      <c r="W182" s="130"/>
      <c r="X182" s="130"/>
    </row>
    <row r="183" spans="2:24" ht="12" customHeight="1" x14ac:dyDescent="0.2">
      <c r="B183" s="130"/>
      <c r="C183" s="130"/>
      <c r="D183" s="130"/>
      <c r="E183" s="130"/>
      <c r="F183" s="130"/>
      <c r="G183" s="130"/>
      <c r="H183" s="130"/>
      <c r="I183" s="130"/>
      <c r="J183" s="130"/>
      <c r="K183" s="130"/>
      <c r="L183" s="130"/>
      <c r="M183" s="130"/>
      <c r="N183" s="130"/>
      <c r="O183" s="130"/>
      <c r="P183" s="130"/>
      <c r="Q183" s="130"/>
      <c r="R183" s="130"/>
      <c r="S183" s="130"/>
      <c r="T183" s="130"/>
      <c r="U183" s="130"/>
      <c r="V183" s="130"/>
      <c r="W183" s="130"/>
      <c r="X183" s="130"/>
    </row>
    <row r="184" spans="2:24" ht="12" customHeight="1" x14ac:dyDescent="0.2">
      <c r="B184" s="130"/>
      <c r="C184" s="130"/>
      <c r="D184" s="130"/>
      <c r="E184" s="130"/>
      <c r="F184" s="130"/>
      <c r="G184" s="130"/>
      <c r="H184" s="130"/>
      <c r="I184" s="130"/>
      <c r="J184" s="130"/>
      <c r="K184" s="130"/>
      <c r="L184" s="130"/>
      <c r="M184" s="130"/>
      <c r="N184" s="130"/>
      <c r="O184" s="130"/>
      <c r="P184" s="130"/>
      <c r="Q184" s="130"/>
      <c r="R184" s="130"/>
      <c r="S184" s="130"/>
      <c r="T184" s="130"/>
      <c r="U184" s="130"/>
      <c r="V184" s="130"/>
      <c r="W184" s="130"/>
      <c r="X184" s="130"/>
    </row>
    <row r="185" spans="2:24" ht="12" customHeight="1" x14ac:dyDescent="0.2">
      <c r="B185" s="130"/>
      <c r="C185" s="130"/>
      <c r="D185" s="130"/>
      <c r="E185" s="130"/>
      <c r="F185" s="130"/>
      <c r="G185" s="130"/>
      <c r="H185" s="130"/>
      <c r="I185" s="130"/>
      <c r="J185" s="130"/>
      <c r="K185" s="130"/>
      <c r="L185" s="130"/>
      <c r="M185" s="130"/>
      <c r="N185" s="130"/>
      <c r="O185" s="130"/>
      <c r="P185" s="130"/>
      <c r="Q185" s="130"/>
      <c r="R185" s="130"/>
      <c r="S185" s="130"/>
      <c r="T185" s="130"/>
      <c r="U185" s="130"/>
      <c r="V185" s="130"/>
      <c r="W185" s="130"/>
      <c r="X185" s="130"/>
    </row>
    <row r="186" spans="2:24" ht="12" customHeight="1" x14ac:dyDescent="0.2">
      <c r="B186" s="130"/>
      <c r="C186" s="130"/>
      <c r="D186" s="130"/>
      <c r="E186" s="130"/>
      <c r="F186" s="130"/>
      <c r="G186" s="130"/>
      <c r="H186" s="130"/>
      <c r="I186" s="130"/>
      <c r="J186" s="130"/>
      <c r="K186" s="130"/>
      <c r="L186" s="130"/>
      <c r="M186" s="130"/>
      <c r="N186" s="130"/>
      <c r="O186" s="130"/>
      <c r="P186" s="130"/>
      <c r="Q186" s="130"/>
      <c r="R186" s="130"/>
      <c r="S186" s="130"/>
      <c r="T186" s="130"/>
      <c r="U186" s="130"/>
      <c r="V186" s="130"/>
      <c r="W186" s="130"/>
      <c r="X186" s="130"/>
    </row>
    <row r="187" spans="2:24" ht="12" customHeight="1" x14ac:dyDescent="0.2">
      <c r="B187" s="130"/>
      <c r="C187" s="130"/>
      <c r="D187" s="130"/>
      <c r="E187" s="130"/>
      <c r="F187" s="130"/>
      <c r="G187" s="130"/>
      <c r="H187" s="130"/>
      <c r="I187" s="130"/>
      <c r="J187" s="130"/>
      <c r="K187" s="130"/>
      <c r="L187" s="130"/>
      <c r="M187" s="130"/>
      <c r="N187" s="130"/>
      <c r="O187" s="130"/>
      <c r="P187" s="130"/>
      <c r="Q187" s="130"/>
      <c r="R187" s="130"/>
      <c r="S187" s="130"/>
      <c r="T187" s="130"/>
      <c r="U187" s="130"/>
      <c r="V187" s="130"/>
      <c r="W187" s="130"/>
      <c r="X187" s="130"/>
    </row>
    <row r="188" spans="2:24" ht="12" customHeight="1" x14ac:dyDescent="0.2">
      <c r="B188" s="130"/>
      <c r="C188" s="130"/>
      <c r="D188" s="130"/>
      <c r="E188" s="130"/>
      <c r="F188" s="130"/>
      <c r="G188" s="130"/>
      <c r="H188" s="130"/>
      <c r="I188" s="130"/>
      <c r="J188" s="130"/>
      <c r="K188" s="130"/>
      <c r="L188" s="130"/>
      <c r="M188" s="130"/>
      <c r="N188" s="130"/>
      <c r="O188" s="130"/>
      <c r="P188" s="130"/>
      <c r="Q188" s="130"/>
      <c r="R188" s="130"/>
      <c r="S188" s="130"/>
      <c r="T188" s="130"/>
      <c r="U188" s="130"/>
      <c r="V188" s="130"/>
      <c r="W188" s="130"/>
      <c r="X188" s="130"/>
    </row>
    <row r="189" spans="2:24" ht="12" customHeight="1" x14ac:dyDescent="0.2">
      <c r="B189" s="130"/>
      <c r="C189" s="130"/>
      <c r="D189" s="130"/>
      <c r="E189" s="130"/>
      <c r="F189" s="130"/>
      <c r="G189" s="130"/>
      <c r="H189" s="130"/>
      <c r="I189" s="130"/>
      <c r="J189" s="130"/>
      <c r="K189" s="130"/>
      <c r="L189" s="130"/>
      <c r="M189" s="130"/>
      <c r="N189" s="130"/>
      <c r="O189" s="130"/>
      <c r="P189" s="130"/>
      <c r="Q189" s="130"/>
      <c r="R189" s="130"/>
      <c r="S189" s="130"/>
      <c r="T189" s="130"/>
      <c r="U189" s="130"/>
      <c r="V189" s="130"/>
      <c r="W189" s="130"/>
      <c r="X189" s="130"/>
    </row>
    <row r="190" spans="2:24" ht="12" customHeight="1" x14ac:dyDescent="0.2">
      <c r="B190" s="130"/>
      <c r="C190" s="130"/>
      <c r="D190" s="130"/>
      <c r="E190" s="130"/>
      <c r="F190" s="130"/>
      <c r="G190" s="130"/>
      <c r="H190" s="130"/>
      <c r="I190" s="130"/>
      <c r="J190" s="130"/>
      <c r="K190" s="130"/>
      <c r="L190" s="130"/>
      <c r="M190" s="130"/>
      <c r="N190" s="130"/>
      <c r="O190" s="130"/>
      <c r="P190" s="130"/>
      <c r="Q190" s="130"/>
      <c r="R190" s="130"/>
      <c r="S190" s="130"/>
      <c r="T190" s="130"/>
      <c r="U190" s="130"/>
      <c r="V190" s="130"/>
      <c r="W190" s="130"/>
      <c r="X190" s="130"/>
    </row>
    <row r="191" spans="2:24" ht="12" customHeight="1" x14ac:dyDescent="0.2">
      <c r="B191" s="130"/>
      <c r="C191" s="130"/>
      <c r="D191" s="130"/>
      <c r="E191" s="130"/>
      <c r="F191" s="130"/>
      <c r="G191" s="130"/>
      <c r="H191" s="130"/>
      <c r="I191" s="130"/>
      <c r="J191" s="130"/>
      <c r="K191" s="130"/>
      <c r="L191" s="130"/>
      <c r="M191" s="130"/>
      <c r="N191" s="130"/>
      <c r="O191" s="130"/>
      <c r="P191" s="130"/>
      <c r="Q191" s="130"/>
      <c r="R191" s="130"/>
      <c r="S191" s="130"/>
      <c r="T191" s="130"/>
      <c r="U191" s="130"/>
      <c r="V191" s="130"/>
      <c r="W191" s="130"/>
      <c r="X191" s="130"/>
    </row>
    <row r="192" spans="2:24" ht="12" customHeight="1" x14ac:dyDescent="0.2">
      <c r="B192" s="130"/>
      <c r="C192" s="130"/>
      <c r="D192" s="130"/>
      <c r="E192" s="130"/>
      <c r="F192" s="130"/>
      <c r="G192" s="130"/>
      <c r="H192" s="130"/>
      <c r="I192" s="130"/>
      <c r="J192" s="130"/>
      <c r="K192" s="130"/>
      <c r="L192" s="130"/>
      <c r="M192" s="130"/>
      <c r="N192" s="130"/>
      <c r="O192" s="130"/>
      <c r="P192" s="130"/>
      <c r="Q192" s="130"/>
      <c r="R192" s="130"/>
      <c r="S192" s="130"/>
      <c r="T192" s="130"/>
      <c r="U192" s="130"/>
      <c r="V192" s="130"/>
      <c r="W192" s="130"/>
      <c r="X192" s="130"/>
    </row>
    <row r="193" spans="2:24" ht="12" customHeight="1" x14ac:dyDescent="0.2">
      <c r="B193" s="130"/>
      <c r="C193" s="130"/>
      <c r="D193" s="130"/>
      <c r="E193" s="130"/>
      <c r="F193" s="130"/>
      <c r="G193" s="130"/>
      <c r="H193" s="130"/>
      <c r="I193" s="130"/>
      <c r="J193" s="130"/>
      <c r="K193" s="130"/>
      <c r="L193" s="130"/>
      <c r="M193" s="130"/>
      <c r="N193" s="130"/>
      <c r="O193" s="130"/>
      <c r="P193" s="130"/>
      <c r="Q193" s="130"/>
      <c r="R193" s="130"/>
      <c r="S193" s="130"/>
      <c r="T193" s="130"/>
      <c r="U193" s="130"/>
      <c r="V193" s="130"/>
      <c r="W193" s="130"/>
      <c r="X193" s="130"/>
    </row>
    <row r="194" spans="2:24" ht="12" customHeight="1" x14ac:dyDescent="0.2">
      <c r="B194" s="130"/>
      <c r="C194" s="130"/>
      <c r="D194" s="130"/>
      <c r="E194" s="130"/>
      <c r="F194" s="130"/>
      <c r="G194" s="130"/>
      <c r="H194" s="130"/>
      <c r="I194" s="130"/>
      <c r="J194" s="130"/>
      <c r="K194" s="130"/>
      <c r="L194" s="130"/>
      <c r="M194" s="130"/>
      <c r="N194" s="130"/>
      <c r="O194" s="130"/>
      <c r="P194" s="130"/>
      <c r="Q194" s="130"/>
      <c r="R194" s="130"/>
      <c r="S194" s="130"/>
      <c r="T194" s="130"/>
      <c r="U194" s="130"/>
      <c r="V194" s="130"/>
      <c r="W194" s="130"/>
      <c r="X194" s="130"/>
    </row>
    <row r="195" spans="2:24" ht="12" customHeight="1" x14ac:dyDescent="0.2">
      <c r="B195" s="130"/>
      <c r="C195" s="130"/>
      <c r="D195" s="130"/>
      <c r="E195" s="130"/>
      <c r="F195" s="130"/>
      <c r="G195" s="130"/>
      <c r="H195" s="130"/>
      <c r="I195" s="130"/>
      <c r="J195" s="130"/>
      <c r="K195" s="130"/>
      <c r="L195" s="130"/>
      <c r="M195" s="130"/>
      <c r="N195" s="130"/>
      <c r="O195" s="130"/>
      <c r="P195" s="130"/>
      <c r="Q195" s="130"/>
      <c r="R195" s="130"/>
      <c r="S195" s="130"/>
      <c r="T195" s="130"/>
      <c r="U195" s="130"/>
      <c r="V195" s="130"/>
      <c r="W195" s="130"/>
      <c r="X195" s="130"/>
    </row>
    <row r="196" spans="2:24" ht="12" customHeight="1" x14ac:dyDescent="0.2">
      <c r="B196" s="130"/>
      <c r="C196" s="130"/>
      <c r="D196" s="130"/>
      <c r="E196" s="130"/>
      <c r="F196" s="130"/>
      <c r="G196" s="130"/>
      <c r="H196" s="130"/>
      <c r="I196" s="130"/>
      <c r="J196" s="130"/>
      <c r="K196" s="130"/>
      <c r="L196" s="130"/>
      <c r="M196" s="130"/>
      <c r="N196" s="130"/>
      <c r="O196" s="130"/>
      <c r="P196" s="130"/>
      <c r="Q196" s="130"/>
      <c r="R196" s="130"/>
      <c r="S196" s="130"/>
      <c r="T196" s="130"/>
      <c r="U196" s="130"/>
      <c r="V196" s="130"/>
      <c r="W196" s="130"/>
      <c r="X196" s="130"/>
    </row>
    <row r="197" spans="2:24" ht="12" customHeight="1" x14ac:dyDescent="0.2">
      <c r="B197" s="130"/>
      <c r="C197" s="130"/>
      <c r="D197" s="130"/>
      <c r="E197" s="130"/>
      <c r="F197" s="130"/>
      <c r="G197" s="130"/>
      <c r="H197" s="130"/>
      <c r="I197" s="130"/>
      <c r="J197" s="130"/>
      <c r="K197" s="130"/>
      <c r="L197" s="130"/>
      <c r="M197" s="130"/>
      <c r="N197" s="130"/>
      <c r="O197" s="130"/>
      <c r="P197" s="130"/>
      <c r="Q197" s="130"/>
      <c r="R197" s="130"/>
      <c r="S197" s="130"/>
      <c r="T197" s="130"/>
      <c r="U197" s="130"/>
      <c r="V197" s="130"/>
      <c r="W197" s="130"/>
      <c r="X197" s="130"/>
    </row>
    <row r="198" spans="2:24" ht="12" customHeight="1" x14ac:dyDescent="0.2">
      <c r="B198" s="130"/>
      <c r="C198" s="130"/>
      <c r="D198" s="130"/>
      <c r="E198" s="130"/>
      <c r="F198" s="130"/>
      <c r="G198" s="130"/>
      <c r="H198" s="130"/>
      <c r="I198" s="130"/>
      <c r="J198" s="130"/>
      <c r="K198" s="130"/>
      <c r="L198" s="130"/>
      <c r="M198" s="130"/>
      <c r="N198" s="130"/>
      <c r="O198" s="130"/>
      <c r="P198" s="130"/>
      <c r="Q198" s="130"/>
      <c r="R198" s="130"/>
      <c r="S198" s="130"/>
      <c r="T198" s="130"/>
      <c r="U198" s="130"/>
      <c r="V198" s="130"/>
      <c r="W198" s="130"/>
      <c r="X198" s="130"/>
    </row>
    <row r="199" spans="2:24" ht="12" customHeight="1" x14ac:dyDescent="0.2">
      <c r="B199" s="130"/>
      <c r="C199" s="130"/>
      <c r="D199" s="130"/>
      <c r="E199" s="130"/>
      <c r="F199" s="130"/>
      <c r="G199" s="130"/>
      <c r="H199" s="130"/>
      <c r="I199" s="130"/>
      <c r="J199" s="130"/>
      <c r="K199" s="130"/>
      <c r="L199" s="130"/>
      <c r="M199" s="130"/>
      <c r="N199" s="130"/>
      <c r="O199" s="130"/>
      <c r="P199" s="130"/>
      <c r="Q199" s="130"/>
      <c r="R199" s="130"/>
      <c r="S199" s="130"/>
      <c r="T199" s="130"/>
      <c r="U199" s="130"/>
      <c r="V199" s="130"/>
      <c r="W199" s="130"/>
      <c r="X199" s="130"/>
    </row>
    <row r="200" spans="2:24" ht="12" customHeight="1" x14ac:dyDescent="0.2">
      <c r="B200" s="130"/>
      <c r="C200" s="130"/>
      <c r="D200" s="130"/>
      <c r="E200" s="130"/>
      <c r="F200" s="130"/>
      <c r="G200" s="130"/>
      <c r="H200" s="130"/>
      <c r="I200" s="130"/>
      <c r="J200" s="130"/>
      <c r="K200" s="130"/>
      <c r="L200" s="130"/>
      <c r="M200" s="130"/>
      <c r="N200" s="130"/>
      <c r="O200" s="130"/>
      <c r="P200" s="130"/>
      <c r="Q200" s="130"/>
      <c r="R200" s="130"/>
      <c r="S200" s="130"/>
      <c r="T200" s="130"/>
      <c r="U200" s="130"/>
      <c r="V200" s="130"/>
      <c r="W200" s="130"/>
      <c r="X200" s="130"/>
    </row>
    <row r="201" spans="2:24" ht="12" customHeight="1" x14ac:dyDescent="0.2">
      <c r="B201" s="130"/>
      <c r="C201" s="130"/>
      <c r="D201" s="130"/>
      <c r="E201" s="130"/>
      <c r="F201" s="130"/>
      <c r="G201" s="130"/>
      <c r="H201" s="130"/>
      <c r="I201" s="130"/>
      <c r="J201" s="130"/>
      <c r="K201" s="130"/>
      <c r="L201" s="130"/>
      <c r="M201" s="130"/>
      <c r="N201" s="130"/>
      <c r="O201" s="130"/>
      <c r="P201" s="130"/>
      <c r="Q201" s="130"/>
      <c r="R201" s="130"/>
      <c r="S201" s="130"/>
      <c r="T201" s="130"/>
      <c r="U201" s="130"/>
      <c r="V201" s="130"/>
      <c r="W201" s="130"/>
      <c r="X201" s="130"/>
    </row>
    <row r="202" spans="2:24" ht="12" customHeight="1" x14ac:dyDescent="0.2">
      <c r="B202" s="130"/>
      <c r="C202" s="130"/>
      <c r="D202" s="130"/>
      <c r="E202" s="130"/>
      <c r="F202" s="130"/>
      <c r="G202" s="130"/>
      <c r="H202" s="130"/>
      <c r="I202" s="130"/>
      <c r="J202" s="130"/>
      <c r="K202" s="130"/>
      <c r="L202" s="130"/>
      <c r="M202" s="130"/>
      <c r="N202" s="130"/>
      <c r="O202" s="130"/>
      <c r="P202" s="130"/>
      <c r="Q202" s="130"/>
      <c r="R202" s="130"/>
      <c r="S202" s="130"/>
      <c r="T202" s="130"/>
      <c r="U202" s="130"/>
      <c r="V202" s="130"/>
      <c r="W202" s="130"/>
      <c r="X202" s="130"/>
    </row>
    <row r="203" spans="2:24" ht="12" customHeight="1" x14ac:dyDescent="0.2">
      <c r="B203" s="130"/>
      <c r="C203" s="130"/>
      <c r="D203" s="130"/>
      <c r="E203" s="130"/>
      <c r="F203" s="130"/>
      <c r="G203" s="130"/>
      <c r="H203" s="130"/>
      <c r="I203" s="130"/>
      <c r="J203" s="130"/>
      <c r="K203" s="130"/>
      <c r="L203" s="130"/>
      <c r="M203" s="130"/>
      <c r="N203" s="130"/>
      <c r="O203" s="130"/>
      <c r="P203" s="130"/>
      <c r="Q203" s="130"/>
      <c r="R203" s="130"/>
      <c r="S203" s="130"/>
      <c r="T203" s="130"/>
      <c r="U203" s="130"/>
      <c r="V203" s="130"/>
      <c r="W203" s="130"/>
      <c r="X203" s="130"/>
    </row>
    <row r="204" spans="2:24" ht="12" customHeight="1" x14ac:dyDescent="0.2">
      <c r="B204" s="130"/>
      <c r="C204" s="130"/>
      <c r="D204" s="130"/>
      <c r="E204" s="130"/>
      <c r="F204" s="130"/>
      <c r="G204" s="130"/>
      <c r="H204" s="130"/>
      <c r="I204" s="130"/>
      <c r="J204" s="130"/>
      <c r="K204" s="130"/>
      <c r="L204" s="130"/>
      <c r="M204" s="130"/>
      <c r="N204" s="130"/>
      <c r="O204" s="130"/>
      <c r="P204" s="130"/>
      <c r="Q204" s="130"/>
      <c r="R204" s="130"/>
      <c r="S204" s="130"/>
      <c r="T204" s="130"/>
      <c r="U204" s="130"/>
      <c r="V204" s="130"/>
      <c r="W204" s="130"/>
      <c r="X204" s="130"/>
    </row>
    <row r="205" spans="2:24" ht="12" customHeight="1" x14ac:dyDescent="0.2">
      <c r="B205" s="130"/>
      <c r="C205" s="130"/>
      <c r="D205" s="130"/>
      <c r="E205" s="130"/>
      <c r="F205" s="130"/>
      <c r="G205" s="130"/>
      <c r="H205" s="130"/>
      <c r="I205" s="130"/>
      <c r="J205" s="130"/>
      <c r="K205" s="130"/>
      <c r="L205" s="130"/>
      <c r="M205" s="130"/>
      <c r="N205" s="130"/>
      <c r="O205" s="130"/>
      <c r="P205" s="130"/>
      <c r="Q205" s="130"/>
      <c r="R205" s="130"/>
      <c r="S205" s="130"/>
      <c r="T205" s="130"/>
      <c r="U205" s="130"/>
      <c r="V205" s="130"/>
      <c r="W205" s="130"/>
      <c r="X205" s="130"/>
    </row>
    <row r="206" spans="2:24" ht="12" customHeight="1" x14ac:dyDescent="0.2">
      <c r="B206" s="130"/>
      <c r="C206" s="130"/>
      <c r="D206" s="130"/>
      <c r="E206" s="130"/>
      <c r="F206" s="130"/>
      <c r="G206" s="130"/>
      <c r="H206" s="130"/>
      <c r="I206" s="130"/>
      <c r="J206" s="130"/>
      <c r="K206" s="130"/>
      <c r="L206" s="130"/>
      <c r="M206" s="130"/>
      <c r="N206" s="130"/>
      <c r="O206" s="130"/>
      <c r="P206" s="130"/>
      <c r="Q206" s="130"/>
      <c r="R206" s="130"/>
      <c r="S206" s="130"/>
      <c r="T206" s="130"/>
      <c r="U206" s="130"/>
      <c r="V206" s="130"/>
      <c r="W206" s="130"/>
      <c r="X206" s="130"/>
    </row>
    <row r="207" spans="2:24" ht="12" customHeight="1" x14ac:dyDescent="0.2">
      <c r="B207" s="130"/>
      <c r="C207" s="130"/>
      <c r="D207" s="130"/>
      <c r="E207" s="130"/>
      <c r="F207" s="130"/>
      <c r="G207" s="130"/>
      <c r="H207" s="130"/>
      <c r="I207" s="130"/>
      <c r="J207" s="130"/>
      <c r="K207" s="130"/>
      <c r="L207" s="130"/>
      <c r="M207" s="130"/>
      <c r="N207" s="130"/>
      <c r="O207" s="130"/>
      <c r="P207" s="130"/>
      <c r="Q207" s="130"/>
      <c r="R207" s="130"/>
      <c r="S207" s="130"/>
      <c r="T207" s="130"/>
      <c r="U207" s="130"/>
      <c r="V207" s="130"/>
      <c r="W207" s="130"/>
      <c r="X207" s="130"/>
    </row>
    <row r="208" spans="2:24" ht="12" customHeight="1" x14ac:dyDescent="0.2">
      <c r="B208" s="130"/>
      <c r="C208" s="130"/>
      <c r="D208" s="130"/>
      <c r="E208" s="130"/>
      <c r="F208" s="130"/>
      <c r="G208" s="130"/>
      <c r="H208" s="130"/>
      <c r="I208" s="130"/>
      <c r="J208" s="130"/>
      <c r="K208" s="130"/>
      <c r="L208" s="130"/>
      <c r="M208" s="130"/>
      <c r="N208" s="130"/>
      <c r="O208" s="130"/>
      <c r="P208" s="130"/>
      <c r="Q208" s="130"/>
      <c r="R208" s="130"/>
      <c r="S208" s="130"/>
      <c r="T208" s="130"/>
      <c r="U208" s="130"/>
      <c r="V208" s="130"/>
      <c r="W208" s="130"/>
      <c r="X208" s="130"/>
    </row>
    <row r="209" spans="2:24" ht="12" customHeight="1" x14ac:dyDescent="0.2">
      <c r="B209" s="130"/>
      <c r="C209" s="130"/>
      <c r="D209" s="130"/>
      <c r="E209" s="130"/>
      <c r="F209" s="130"/>
      <c r="G209" s="130"/>
      <c r="H209" s="130"/>
      <c r="I209" s="130"/>
      <c r="J209" s="130"/>
      <c r="K209" s="130"/>
      <c r="L209" s="130"/>
      <c r="M209" s="130"/>
      <c r="N209" s="130"/>
      <c r="O209" s="130"/>
      <c r="P209" s="130"/>
      <c r="Q209" s="130"/>
      <c r="R209" s="130"/>
      <c r="S209" s="130"/>
      <c r="T209" s="130"/>
      <c r="U209" s="130"/>
      <c r="V209" s="130"/>
      <c r="W209" s="130"/>
      <c r="X209" s="130"/>
    </row>
    <row r="210" spans="2:24" ht="12" customHeight="1" x14ac:dyDescent="0.2">
      <c r="B210" s="130"/>
      <c r="C210" s="130"/>
      <c r="D210" s="130"/>
      <c r="E210" s="130"/>
      <c r="F210" s="130"/>
      <c r="G210" s="130"/>
      <c r="H210" s="130"/>
      <c r="I210" s="130"/>
      <c r="J210" s="130"/>
      <c r="K210" s="130"/>
      <c r="L210" s="130"/>
      <c r="M210" s="130"/>
      <c r="N210" s="130"/>
      <c r="O210" s="130"/>
      <c r="P210" s="130"/>
      <c r="Q210" s="130"/>
      <c r="R210" s="130"/>
      <c r="S210" s="130"/>
      <c r="T210" s="130"/>
      <c r="U210" s="130"/>
      <c r="V210" s="130"/>
      <c r="W210" s="130"/>
      <c r="X210" s="130"/>
    </row>
    <row r="211" spans="2:24" ht="12" customHeight="1" x14ac:dyDescent="0.2">
      <c r="B211" s="130"/>
      <c r="C211" s="130"/>
      <c r="D211" s="130"/>
      <c r="E211" s="130"/>
      <c r="F211" s="130"/>
      <c r="G211" s="130"/>
      <c r="H211" s="130"/>
      <c r="I211" s="130"/>
      <c r="J211" s="130"/>
      <c r="K211" s="130"/>
      <c r="L211" s="130"/>
      <c r="M211" s="130"/>
      <c r="N211" s="130"/>
      <c r="O211" s="130"/>
      <c r="P211" s="130"/>
      <c r="Q211" s="130"/>
      <c r="R211" s="130"/>
      <c r="S211" s="130"/>
      <c r="T211" s="130"/>
      <c r="U211" s="130"/>
      <c r="V211" s="130"/>
      <c r="W211" s="130"/>
      <c r="X211" s="130"/>
    </row>
    <row r="212" spans="2:24" ht="12" customHeight="1" x14ac:dyDescent="0.2">
      <c r="B212" s="130"/>
      <c r="C212" s="130"/>
      <c r="D212" s="130"/>
      <c r="E212" s="130"/>
      <c r="F212" s="130"/>
      <c r="G212" s="130"/>
      <c r="H212" s="130"/>
      <c r="I212" s="130"/>
      <c r="J212" s="130"/>
      <c r="K212" s="130"/>
      <c r="L212" s="130"/>
      <c r="M212" s="130"/>
      <c r="N212" s="130"/>
      <c r="O212" s="130"/>
      <c r="P212" s="130"/>
      <c r="Q212" s="130"/>
      <c r="R212" s="130"/>
      <c r="S212" s="130"/>
      <c r="T212" s="130"/>
      <c r="U212" s="130"/>
      <c r="V212" s="130"/>
      <c r="W212" s="130"/>
      <c r="X212" s="130"/>
    </row>
    <row r="213" spans="2:24" ht="12" customHeight="1" x14ac:dyDescent="0.2">
      <c r="B213" s="130"/>
      <c r="C213" s="130"/>
      <c r="D213" s="130"/>
      <c r="E213" s="130"/>
      <c r="F213" s="130"/>
      <c r="G213" s="130"/>
      <c r="H213" s="130"/>
      <c r="I213" s="130"/>
      <c r="J213" s="130"/>
      <c r="K213" s="130"/>
      <c r="L213" s="130"/>
      <c r="M213" s="130"/>
      <c r="N213" s="130"/>
      <c r="O213" s="130"/>
      <c r="P213" s="130"/>
      <c r="Q213" s="130"/>
      <c r="R213" s="130"/>
      <c r="S213" s="130"/>
      <c r="T213" s="130"/>
      <c r="U213" s="130"/>
      <c r="V213" s="130"/>
      <c r="W213" s="130"/>
      <c r="X213" s="130"/>
    </row>
    <row r="214" spans="2:24" ht="12" customHeight="1" x14ac:dyDescent="0.2">
      <c r="B214" s="130"/>
      <c r="C214" s="130"/>
      <c r="D214" s="130"/>
      <c r="E214" s="130"/>
      <c r="F214" s="130"/>
      <c r="G214" s="130"/>
      <c r="H214" s="130"/>
      <c r="I214" s="130"/>
      <c r="J214" s="130"/>
      <c r="K214" s="130"/>
      <c r="L214" s="130"/>
      <c r="M214" s="130"/>
      <c r="N214" s="130"/>
      <c r="O214" s="130"/>
      <c r="P214" s="130"/>
      <c r="Q214" s="130"/>
      <c r="R214" s="130"/>
      <c r="S214" s="130"/>
      <c r="T214" s="130"/>
      <c r="U214" s="130"/>
      <c r="V214" s="130"/>
      <c r="W214" s="130"/>
      <c r="X214" s="130"/>
    </row>
    <row r="215" spans="2:24" ht="12" customHeight="1" x14ac:dyDescent="0.2">
      <c r="B215" s="130"/>
      <c r="C215" s="130"/>
      <c r="D215" s="130"/>
      <c r="E215" s="130"/>
      <c r="F215" s="130"/>
      <c r="G215" s="130"/>
      <c r="H215" s="130"/>
      <c r="I215" s="130"/>
      <c r="J215" s="130"/>
      <c r="K215" s="130"/>
      <c r="L215" s="130"/>
      <c r="M215" s="130"/>
      <c r="N215" s="130"/>
      <c r="O215" s="130"/>
      <c r="P215" s="130"/>
      <c r="Q215" s="130"/>
      <c r="R215" s="130"/>
      <c r="S215" s="130"/>
      <c r="T215" s="130"/>
      <c r="U215" s="130"/>
      <c r="V215" s="130"/>
      <c r="W215" s="130"/>
      <c r="X215" s="130"/>
    </row>
    <row r="216" spans="2:24" ht="12" customHeight="1" x14ac:dyDescent="0.2">
      <c r="B216" s="130"/>
      <c r="C216" s="130"/>
      <c r="D216" s="130"/>
      <c r="E216" s="130"/>
      <c r="F216" s="130"/>
      <c r="G216" s="130"/>
      <c r="H216" s="130"/>
      <c r="I216" s="130"/>
      <c r="J216" s="130"/>
      <c r="K216" s="130"/>
      <c r="L216" s="130"/>
      <c r="M216" s="130"/>
      <c r="N216" s="130"/>
      <c r="O216" s="130"/>
      <c r="P216" s="130"/>
      <c r="Q216" s="130"/>
      <c r="R216" s="130"/>
      <c r="S216" s="130"/>
      <c r="T216" s="130"/>
      <c r="U216" s="130"/>
      <c r="V216" s="130"/>
      <c r="W216" s="130"/>
      <c r="X216" s="130"/>
    </row>
    <row r="217" spans="2:24" ht="12" customHeight="1" x14ac:dyDescent="0.2">
      <c r="B217" s="130"/>
      <c r="C217" s="130"/>
      <c r="D217" s="130"/>
      <c r="E217" s="130"/>
      <c r="F217" s="130"/>
      <c r="G217" s="130"/>
      <c r="H217" s="130"/>
      <c r="I217" s="130"/>
      <c r="J217" s="130"/>
      <c r="K217" s="130"/>
      <c r="L217" s="130"/>
      <c r="M217" s="130"/>
      <c r="N217" s="130"/>
      <c r="O217" s="130"/>
      <c r="P217" s="130"/>
      <c r="Q217" s="130"/>
      <c r="R217" s="130"/>
      <c r="S217" s="130"/>
      <c r="T217" s="130"/>
      <c r="U217" s="130"/>
      <c r="V217" s="130"/>
      <c r="W217" s="130"/>
      <c r="X217" s="130"/>
    </row>
    <row r="218" spans="2:24" ht="12" customHeight="1" x14ac:dyDescent="0.2">
      <c r="B218" s="130"/>
      <c r="C218" s="130"/>
      <c r="D218" s="130"/>
      <c r="E218" s="130"/>
      <c r="F218" s="130"/>
      <c r="G218" s="130"/>
      <c r="H218" s="130"/>
      <c r="I218" s="130"/>
      <c r="J218" s="130"/>
      <c r="K218" s="130"/>
      <c r="L218" s="130"/>
      <c r="M218" s="130"/>
      <c r="N218" s="130"/>
      <c r="O218" s="130"/>
      <c r="P218" s="130"/>
      <c r="Q218" s="130"/>
      <c r="R218" s="130"/>
      <c r="S218" s="130"/>
      <c r="T218" s="130"/>
      <c r="U218" s="130"/>
      <c r="V218" s="130"/>
      <c r="W218" s="130"/>
      <c r="X218" s="130"/>
    </row>
    <row r="219" spans="2:24" ht="12" customHeight="1" x14ac:dyDescent="0.2">
      <c r="B219" s="130"/>
      <c r="C219" s="130"/>
      <c r="D219" s="130"/>
      <c r="E219" s="130"/>
      <c r="F219" s="130"/>
      <c r="G219" s="130"/>
      <c r="H219" s="130"/>
      <c r="I219" s="130"/>
      <c r="J219" s="130"/>
      <c r="K219" s="130"/>
      <c r="L219" s="130"/>
      <c r="M219" s="130"/>
      <c r="N219" s="130"/>
      <c r="O219" s="130"/>
      <c r="P219" s="130"/>
      <c r="Q219" s="130"/>
      <c r="R219" s="130"/>
      <c r="S219" s="130"/>
      <c r="T219" s="130"/>
      <c r="U219" s="130"/>
      <c r="V219" s="130"/>
      <c r="W219" s="130"/>
      <c r="X219" s="130"/>
    </row>
    <row r="220" spans="2:24" ht="12" customHeight="1" x14ac:dyDescent="0.2">
      <c r="B220" s="130"/>
      <c r="C220" s="130"/>
      <c r="D220" s="130"/>
      <c r="E220" s="130"/>
      <c r="F220" s="130"/>
      <c r="G220" s="130"/>
      <c r="H220" s="130"/>
      <c r="I220" s="130"/>
      <c r="J220" s="130"/>
      <c r="K220" s="130"/>
      <c r="L220" s="130"/>
      <c r="M220" s="130"/>
      <c r="N220" s="130"/>
      <c r="O220" s="130"/>
      <c r="P220" s="130"/>
      <c r="Q220" s="130"/>
      <c r="R220" s="130"/>
      <c r="S220" s="130"/>
      <c r="T220" s="130"/>
      <c r="U220" s="130"/>
      <c r="V220" s="130"/>
      <c r="W220" s="130"/>
      <c r="X220" s="130"/>
    </row>
    <row r="221" spans="2:24" ht="12" customHeight="1" x14ac:dyDescent="0.2">
      <c r="B221" s="130"/>
      <c r="C221" s="130"/>
      <c r="D221" s="130"/>
      <c r="E221" s="130"/>
      <c r="F221" s="130"/>
      <c r="G221" s="130"/>
      <c r="H221" s="130"/>
      <c r="I221" s="130"/>
      <c r="J221" s="130"/>
      <c r="K221" s="130"/>
      <c r="L221" s="130"/>
      <c r="M221" s="130"/>
      <c r="N221" s="130"/>
      <c r="O221" s="130"/>
      <c r="P221" s="130"/>
      <c r="Q221" s="130"/>
      <c r="R221" s="130"/>
      <c r="S221" s="130"/>
      <c r="T221" s="130"/>
      <c r="U221" s="130"/>
      <c r="V221" s="130"/>
      <c r="W221" s="130"/>
      <c r="X221" s="130"/>
    </row>
    <row r="222" spans="2:24" ht="12" customHeight="1" x14ac:dyDescent="0.2">
      <c r="B222" s="130"/>
      <c r="C222" s="130"/>
      <c r="D222" s="130"/>
      <c r="E222" s="130"/>
      <c r="F222" s="130"/>
      <c r="G222" s="130"/>
      <c r="H222" s="130"/>
      <c r="I222" s="130"/>
      <c r="J222" s="130"/>
      <c r="K222" s="130"/>
      <c r="L222" s="130"/>
      <c r="M222" s="130"/>
      <c r="N222" s="130"/>
      <c r="O222" s="130"/>
      <c r="P222" s="130"/>
      <c r="Q222" s="130"/>
      <c r="R222" s="130"/>
      <c r="S222" s="130"/>
      <c r="T222" s="130"/>
      <c r="U222" s="130"/>
      <c r="V222" s="130"/>
      <c r="W222" s="130"/>
      <c r="X222" s="130"/>
    </row>
    <row r="223" spans="2:24" ht="12" customHeight="1" x14ac:dyDescent="0.2">
      <c r="B223" s="130"/>
      <c r="C223" s="130"/>
      <c r="D223" s="130"/>
      <c r="E223" s="130"/>
      <c r="F223" s="130"/>
      <c r="G223" s="130"/>
      <c r="H223" s="130"/>
      <c r="I223" s="130"/>
      <c r="J223" s="130"/>
      <c r="K223" s="130"/>
      <c r="L223" s="130"/>
      <c r="M223" s="130"/>
      <c r="N223" s="130"/>
      <c r="O223" s="130"/>
      <c r="P223" s="130"/>
      <c r="Q223" s="130"/>
      <c r="R223" s="130"/>
      <c r="S223" s="130"/>
      <c r="T223" s="130"/>
      <c r="U223" s="130"/>
      <c r="V223" s="130"/>
      <c r="W223" s="130"/>
      <c r="X223" s="130"/>
    </row>
    <row r="224" spans="2:24" ht="12" customHeight="1" x14ac:dyDescent="0.2">
      <c r="B224" s="130"/>
      <c r="C224" s="130"/>
      <c r="D224" s="130"/>
      <c r="E224" s="130"/>
      <c r="F224" s="130"/>
      <c r="G224" s="130"/>
      <c r="H224" s="130"/>
      <c r="I224" s="130"/>
      <c r="J224" s="130"/>
      <c r="K224" s="130"/>
      <c r="L224" s="130"/>
      <c r="M224" s="130"/>
      <c r="N224" s="130"/>
      <c r="O224" s="130"/>
      <c r="P224" s="130"/>
      <c r="Q224" s="130"/>
      <c r="R224" s="130"/>
      <c r="S224" s="130"/>
      <c r="T224" s="130"/>
      <c r="U224" s="130"/>
      <c r="V224" s="130"/>
      <c r="W224" s="130"/>
      <c r="X224" s="130"/>
    </row>
    <row r="225" spans="2:24" ht="12" customHeight="1" x14ac:dyDescent="0.2">
      <c r="B225" s="130"/>
      <c r="C225" s="130"/>
      <c r="D225" s="130"/>
      <c r="E225" s="130"/>
      <c r="F225" s="130"/>
      <c r="G225" s="130"/>
      <c r="H225" s="130"/>
      <c r="I225" s="130"/>
      <c r="J225" s="130"/>
      <c r="K225" s="130"/>
      <c r="L225" s="130"/>
      <c r="M225" s="130"/>
      <c r="N225" s="130"/>
      <c r="O225" s="130"/>
      <c r="P225" s="130"/>
      <c r="Q225" s="130"/>
      <c r="R225" s="130"/>
      <c r="S225" s="130"/>
      <c r="T225" s="130"/>
      <c r="U225" s="130"/>
      <c r="V225" s="130"/>
      <c r="W225" s="130"/>
      <c r="X225" s="130"/>
    </row>
    <row r="226" spans="2:24" ht="12" customHeight="1" x14ac:dyDescent="0.2">
      <c r="B226" s="130"/>
      <c r="C226" s="130"/>
      <c r="D226" s="130"/>
      <c r="E226" s="130"/>
      <c r="F226" s="130"/>
      <c r="G226" s="130"/>
      <c r="H226" s="130"/>
      <c r="I226" s="130"/>
      <c r="J226" s="130"/>
      <c r="K226" s="130"/>
      <c r="L226" s="130"/>
      <c r="M226" s="130"/>
      <c r="N226" s="130"/>
      <c r="O226" s="130"/>
      <c r="P226" s="130"/>
      <c r="Q226" s="130"/>
      <c r="R226" s="130"/>
      <c r="S226" s="130"/>
      <c r="T226" s="130"/>
      <c r="U226" s="130"/>
      <c r="V226" s="130"/>
      <c r="W226" s="130"/>
      <c r="X226" s="130"/>
    </row>
    <row r="227" spans="2:24" ht="12" customHeight="1" x14ac:dyDescent="0.2">
      <c r="B227" s="130"/>
      <c r="C227" s="130"/>
      <c r="D227" s="130"/>
      <c r="E227" s="130"/>
      <c r="F227" s="130"/>
      <c r="G227" s="130"/>
      <c r="H227" s="130"/>
      <c r="I227" s="130"/>
      <c r="J227" s="130"/>
      <c r="K227" s="130"/>
      <c r="L227" s="130"/>
      <c r="M227" s="130"/>
      <c r="N227" s="130"/>
      <c r="O227" s="130"/>
      <c r="P227" s="130"/>
      <c r="Q227" s="130"/>
      <c r="R227" s="130"/>
      <c r="S227" s="130"/>
      <c r="T227" s="130"/>
      <c r="U227" s="130"/>
      <c r="V227" s="130"/>
      <c r="W227" s="130"/>
      <c r="X227" s="130"/>
    </row>
    <row r="228" spans="2:24" ht="12" customHeight="1" x14ac:dyDescent="0.2">
      <c r="B228" s="130"/>
      <c r="C228" s="130"/>
      <c r="D228" s="130"/>
      <c r="E228" s="130"/>
      <c r="F228" s="130"/>
      <c r="G228" s="130"/>
      <c r="H228" s="130"/>
      <c r="I228" s="130"/>
      <c r="J228" s="130"/>
      <c r="K228" s="130"/>
      <c r="L228" s="130"/>
      <c r="M228" s="130"/>
      <c r="N228" s="130"/>
      <c r="O228" s="130"/>
      <c r="P228" s="130"/>
      <c r="Q228" s="130"/>
      <c r="R228" s="130"/>
      <c r="S228" s="130"/>
      <c r="T228" s="130"/>
      <c r="U228" s="130"/>
      <c r="V228" s="130"/>
      <c r="W228" s="130"/>
      <c r="X228" s="130"/>
    </row>
    <row r="229" spans="2:24" ht="12" customHeight="1" x14ac:dyDescent="0.2">
      <c r="B229" s="130"/>
      <c r="C229" s="130"/>
      <c r="D229" s="130"/>
      <c r="E229" s="130"/>
      <c r="F229" s="130"/>
      <c r="G229" s="130"/>
      <c r="H229" s="130"/>
      <c r="I229" s="130"/>
      <c r="J229" s="130"/>
      <c r="K229" s="130"/>
      <c r="L229" s="130"/>
      <c r="M229" s="130"/>
      <c r="N229" s="130"/>
      <c r="O229" s="130"/>
      <c r="P229" s="130"/>
      <c r="Q229" s="130"/>
      <c r="R229" s="130"/>
      <c r="S229" s="130"/>
      <c r="T229" s="130"/>
      <c r="U229" s="130"/>
      <c r="V229" s="130"/>
      <c r="W229" s="130"/>
      <c r="X229" s="130"/>
    </row>
    <row r="230" spans="2:24" ht="12" customHeight="1" x14ac:dyDescent="0.2">
      <c r="B230" s="130"/>
      <c r="C230" s="130"/>
      <c r="D230" s="130"/>
      <c r="E230" s="130"/>
      <c r="F230" s="130"/>
      <c r="G230" s="130"/>
      <c r="H230" s="130"/>
      <c r="I230" s="130"/>
      <c r="J230" s="130"/>
      <c r="K230" s="130"/>
      <c r="L230" s="130"/>
      <c r="M230" s="130"/>
      <c r="N230" s="130"/>
      <c r="O230" s="130"/>
      <c r="P230" s="130"/>
      <c r="Q230" s="130"/>
      <c r="R230" s="130"/>
      <c r="S230" s="130"/>
      <c r="T230" s="130"/>
      <c r="U230" s="130"/>
      <c r="V230" s="130"/>
      <c r="W230" s="130"/>
      <c r="X230" s="130"/>
    </row>
    <row r="231" spans="2:24" ht="12" customHeight="1" x14ac:dyDescent="0.2">
      <c r="B231" s="130"/>
      <c r="C231" s="130"/>
      <c r="D231" s="130"/>
      <c r="E231" s="130"/>
      <c r="F231" s="130"/>
      <c r="G231" s="130"/>
      <c r="H231" s="130"/>
      <c r="I231" s="130"/>
      <c r="J231" s="130"/>
      <c r="K231" s="130"/>
      <c r="L231" s="130"/>
      <c r="M231" s="130"/>
      <c r="N231" s="130"/>
      <c r="O231" s="130"/>
      <c r="P231" s="130"/>
      <c r="Q231" s="130"/>
      <c r="R231" s="130"/>
      <c r="S231" s="130"/>
      <c r="T231" s="130"/>
      <c r="U231" s="130"/>
      <c r="V231" s="130"/>
      <c r="W231" s="130"/>
      <c r="X231" s="130"/>
    </row>
    <row r="232" spans="2:24" ht="12" customHeight="1" x14ac:dyDescent="0.2">
      <c r="B232" s="130"/>
      <c r="C232" s="130"/>
      <c r="D232" s="130"/>
      <c r="E232" s="130"/>
      <c r="F232" s="130"/>
      <c r="G232" s="130"/>
      <c r="H232" s="130"/>
      <c r="I232" s="130"/>
      <c r="J232" s="130"/>
      <c r="K232" s="130"/>
      <c r="L232" s="130"/>
      <c r="M232" s="130"/>
      <c r="N232" s="130"/>
      <c r="O232" s="130"/>
      <c r="P232" s="130"/>
      <c r="Q232" s="130"/>
      <c r="R232" s="130"/>
      <c r="S232" s="130"/>
      <c r="T232" s="130"/>
      <c r="U232" s="130"/>
      <c r="V232" s="130"/>
      <c r="W232" s="130"/>
      <c r="X232" s="130"/>
    </row>
    <row r="233" spans="2:24" ht="12" customHeight="1" x14ac:dyDescent="0.2">
      <c r="B233" s="130"/>
      <c r="C233" s="130"/>
      <c r="D233" s="130"/>
      <c r="E233" s="130"/>
      <c r="F233" s="130"/>
      <c r="G233" s="130"/>
      <c r="H233" s="130"/>
      <c r="I233" s="130"/>
      <c r="J233" s="130"/>
      <c r="K233" s="130"/>
      <c r="L233" s="130"/>
      <c r="M233" s="130"/>
      <c r="N233" s="130"/>
      <c r="O233" s="130"/>
      <c r="P233" s="130"/>
      <c r="Q233" s="130"/>
      <c r="R233" s="130"/>
      <c r="S233" s="130"/>
      <c r="T233" s="130"/>
      <c r="U233" s="130"/>
      <c r="V233" s="130"/>
      <c r="W233" s="130"/>
      <c r="X233" s="130"/>
    </row>
    <row r="234" spans="2:24" ht="12" customHeight="1" x14ac:dyDescent="0.2">
      <c r="B234" s="130"/>
      <c r="C234" s="130"/>
      <c r="D234" s="130"/>
      <c r="E234" s="130"/>
      <c r="F234" s="130"/>
      <c r="G234" s="130"/>
      <c r="H234" s="130"/>
      <c r="I234" s="130"/>
      <c r="J234" s="130"/>
      <c r="K234" s="130"/>
      <c r="L234" s="130"/>
      <c r="M234" s="130"/>
      <c r="N234" s="130"/>
      <c r="O234" s="130"/>
      <c r="P234" s="130"/>
      <c r="Q234" s="130"/>
      <c r="R234" s="130"/>
      <c r="S234" s="130"/>
      <c r="T234" s="130"/>
      <c r="U234" s="130"/>
      <c r="V234" s="130"/>
      <c r="W234" s="130"/>
      <c r="X234" s="130"/>
    </row>
    <row r="235" spans="2:24" ht="12" customHeight="1" x14ac:dyDescent="0.2">
      <c r="B235" s="130"/>
      <c r="C235" s="130"/>
      <c r="D235" s="130"/>
      <c r="E235" s="130"/>
      <c r="F235" s="130"/>
      <c r="G235" s="130"/>
      <c r="H235" s="130"/>
      <c r="I235" s="130"/>
      <c r="J235" s="130"/>
      <c r="K235" s="130"/>
      <c r="L235" s="130"/>
      <c r="M235" s="130"/>
      <c r="N235" s="130"/>
      <c r="O235" s="130"/>
      <c r="P235" s="130"/>
      <c r="Q235" s="130"/>
      <c r="R235" s="130"/>
      <c r="S235" s="130"/>
      <c r="T235" s="130"/>
      <c r="U235" s="130"/>
      <c r="V235" s="130"/>
      <c r="W235" s="130"/>
      <c r="X235" s="130"/>
    </row>
    <row r="236" spans="2:24" ht="12" customHeight="1" x14ac:dyDescent="0.2">
      <c r="B236" s="130"/>
      <c r="C236" s="130"/>
      <c r="D236" s="130"/>
      <c r="E236" s="130"/>
      <c r="F236" s="130"/>
      <c r="G236" s="130"/>
      <c r="H236" s="130"/>
      <c r="I236" s="130"/>
      <c r="J236" s="130"/>
      <c r="K236" s="130"/>
      <c r="L236" s="130"/>
      <c r="M236" s="130"/>
      <c r="N236" s="130"/>
      <c r="O236" s="130"/>
      <c r="P236" s="130"/>
      <c r="Q236" s="130"/>
      <c r="R236" s="130"/>
      <c r="S236" s="130"/>
      <c r="T236" s="130"/>
      <c r="U236" s="130"/>
      <c r="V236" s="130"/>
      <c r="W236" s="130"/>
      <c r="X236" s="130"/>
    </row>
    <row r="237" spans="2:24" ht="12" customHeight="1" x14ac:dyDescent="0.2">
      <c r="B237" s="130"/>
      <c r="C237" s="130"/>
      <c r="D237" s="130"/>
      <c r="E237" s="130"/>
      <c r="F237" s="130"/>
      <c r="G237" s="130"/>
      <c r="H237" s="130"/>
      <c r="I237" s="130"/>
      <c r="J237" s="130"/>
      <c r="K237" s="130"/>
      <c r="L237" s="130"/>
      <c r="M237" s="130"/>
      <c r="N237" s="130"/>
      <c r="O237" s="130"/>
      <c r="P237" s="130"/>
      <c r="Q237" s="130"/>
      <c r="R237" s="130"/>
      <c r="S237" s="130"/>
      <c r="T237" s="130"/>
      <c r="U237" s="130"/>
      <c r="V237" s="130"/>
      <c r="W237" s="130"/>
      <c r="X237" s="130"/>
    </row>
    <row r="238" spans="2:24" ht="12" customHeight="1" x14ac:dyDescent="0.2">
      <c r="B238" s="130"/>
      <c r="C238" s="130"/>
      <c r="D238" s="130"/>
      <c r="E238" s="130"/>
      <c r="F238" s="130"/>
      <c r="G238" s="130"/>
      <c r="H238" s="130"/>
      <c r="I238" s="130"/>
      <c r="J238" s="130"/>
      <c r="K238" s="130"/>
      <c r="L238" s="130"/>
      <c r="M238" s="130"/>
      <c r="N238" s="130"/>
      <c r="O238" s="130"/>
      <c r="P238" s="130"/>
      <c r="Q238" s="130"/>
      <c r="R238" s="130"/>
      <c r="S238" s="130"/>
      <c r="T238" s="130"/>
      <c r="U238" s="130"/>
      <c r="V238" s="130"/>
      <c r="W238" s="130"/>
      <c r="X238" s="130"/>
    </row>
    <row r="239" spans="2:24" ht="12" customHeight="1" x14ac:dyDescent="0.2">
      <c r="B239" s="130"/>
      <c r="C239" s="130"/>
      <c r="D239" s="130"/>
      <c r="E239" s="130"/>
      <c r="F239" s="130"/>
      <c r="G239" s="130"/>
      <c r="H239" s="130"/>
      <c r="I239" s="130"/>
      <c r="J239" s="130"/>
      <c r="K239" s="130"/>
      <c r="L239" s="130"/>
      <c r="M239" s="130"/>
      <c r="N239" s="130"/>
      <c r="O239" s="130"/>
      <c r="P239" s="130"/>
      <c r="Q239" s="130"/>
      <c r="R239" s="130"/>
      <c r="S239" s="130"/>
      <c r="T239" s="130"/>
      <c r="U239" s="130"/>
      <c r="V239" s="130"/>
      <c r="W239" s="130"/>
      <c r="X239" s="130"/>
    </row>
    <row r="240" spans="2:24" ht="12" customHeight="1" x14ac:dyDescent="0.2">
      <c r="B240" s="130"/>
      <c r="C240" s="130"/>
      <c r="D240" s="130"/>
      <c r="E240" s="130"/>
      <c r="F240" s="130"/>
      <c r="G240" s="130"/>
      <c r="H240" s="130"/>
      <c r="I240" s="130"/>
      <c r="J240" s="130"/>
      <c r="K240" s="130"/>
      <c r="L240" s="130"/>
      <c r="M240" s="130"/>
      <c r="N240" s="130"/>
      <c r="O240" s="130"/>
      <c r="P240" s="130"/>
      <c r="Q240" s="130"/>
      <c r="R240" s="130"/>
      <c r="S240" s="130"/>
      <c r="T240" s="130"/>
      <c r="U240" s="130"/>
      <c r="V240" s="130"/>
      <c r="W240" s="130"/>
      <c r="X240" s="130"/>
    </row>
    <row r="241" spans="2:24" ht="12" customHeight="1" x14ac:dyDescent="0.2">
      <c r="B241" s="130"/>
      <c r="C241" s="130"/>
      <c r="D241" s="130"/>
      <c r="E241" s="130"/>
      <c r="F241" s="130"/>
      <c r="G241" s="130"/>
      <c r="H241" s="130"/>
      <c r="I241" s="130"/>
      <c r="J241" s="130"/>
      <c r="K241" s="130"/>
      <c r="L241" s="130"/>
      <c r="M241" s="130"/>
      <c r="N241" s="130"/>
      <c r="O241" s="130"/>
      <c r="P241" s="130"/>
      <c r="Q241" s="130"/>
      <c r="R241" s="130"/>
      <c r="S241" s="130"/>
      <c r="T241" s="130"/>
      <c r="U241" s="130"/>
      <c r="V241" s="130"/>
      <c r="W241" s="130"/>
      <c r="X241" s="130"/>
    </row>
    <row r="242" spans="2:24" ht="12" customHeight="1" x14ac:dyDescent="0.2">
      <c r="B242" s="130"/>
      <c r="C242" s="130"/>
      <c r="D242" s="130"/>
      <c r="E242" s="130"/>
      <c r="F242" s="130"/>
      <c r="G242" s="130"/>
      <c r="H242" s="130"/>
      <c r="I242" s="130"/>
      <c r="J242" s="130"/>
      <c r="K242" s="130"/>
      <c r="L242" s="130"/>
      <c r="M242" s="130"/>
      <c r="N242" s="130"/>
      <c r="O242" s="130"/>
      <c r="P242" s="130"/>
      <c r="Q242" s="130"/>
      <c r="R242" s="130"/>
      <c r="S242" s="130"/>
      <c r="T242" s="130"/>
      <c r="U242" s="130"/>
      <c r="V242" s="130"/>
      <c r="W242" s="130"/>
      <c r="X242" s="130"/>
    </row>
    <row r="243" spans="2:24" ht="12" customHeight="1" x14ac:dyDescent="0.2">
      <c r="B243" s="130"/>
      <c r="C243" s="130"/>
      <c r="D243" s="130"/>
      <c r="E243" s="130"/>
      <c r="F243" s="130"/>
      <c r="G243" s="130"/>
      <c r="H243" s="130"/>
      <c r="I243" s="130"/>
      <c r="J243" s="130"/>
      <c r="K243" s="130"/>
      <c r="L243" s="130"/>
      <c r="M243" s="130"/>
      <c r="N243" s="130"/>
      <c r="O243" s="130"/>
      <c r="P243" s="130"/>
      <c r="Q243" s="130"/>
      <c r="R243" s="130"/>
      <c r="S243" s="130"/>
      <c r="T243" s="130"/>
      <c r="U243" s="130"/>
      <c r="V243" s="130"/>
      <c r="W243" s="130"/>
      <c r="X243" s="130"/>
    </row>
    <row r="244" spans="2:24" ht="12" customHeight="1" x14ac:dyDescent="0.2">
      <c r="B244" s="130"/>
      <c r="C244" s="130"/>
      <c r="D244" s="130"/>
      <c r="E244" s="130"/>
      <c r="F244" s="130"/>
      <c r="G244" s="130"/>
      <c r="H244" s="130"/>
      <c r="I244" s="130"/>
      <c r="J244" s="130"/>
      <c r="K244" s="130"/>
      <c r="L244" s="130"/>
      <c r="M244" s="130"/>
      <c r="N244" s="130"/>
      <c r="O244" s="130"/>
      <c r="P244" s="130"/>
      <c r="Q244" s="130"/>
      <c r="R244" s="130"/>
      <c r="S244" s="130"/>
      <c r="T244" s="130"/>
      <c r="U244" s="130"/>
      <c r="V244" s="130"/>
      <c r="W244" s="130"/>
      <c r="X244" s="130"/>
    </row>
    <row r="245" spans="2:24" ht="12" customHeight="1" x14ac:dyDescent="0.2">
      <c r="B245" s="130"/>
      <c r="C245" s="130"/>
      <c r="D245" s="130"/>
      <c r="E245" s="130"/>
      <c r="F245" s="130"/>
      <c r="G245" s="130"/>
      <c r="H245" s="130"/>
      <c r="I245" s="130"/>
      <c r="J245" s="130"/>
      <c r="K245" s="130"/>
      <c r="L245" s="130"/>
      <c r="M245" s="130"/>
      <c r="N245" s="130"/>
      <c r="O245" s="130"/>
      <c r="P245" s="130"/>
      <c r="Q245" s="130"/>
      <c r="R245" s="130"/>
      <c r="S245" s="130"/>
      <c r="T245" s="130"/>
      <c r="U245" s="130"/>
      <c r="V245" s="130"/>
      <c r="W245" s="130"/>
      <c r="X245" s="130"/>
    </row>
    <row r="246" spans="2:24" ht="12" customHeight="1" x14ac:dyDescent="0.2">
      <c r="B246" s="130"/>
      <c r="C246" s="130"/>
      <c r="D246" s="130"/>
      <c r="E246" s="130"/>
      <c r="F246" s="130"/>
      <c r="G246" s="130"/>
      <c r="H246" s="130"/>
      <c r="I246" s="130"/>
      <c r="J246" s="130"/>
      <c r="K246" s="130"/>
      <c r="L246" s="130"/>
      <c r="M246" s="130"/>
      <c r="N246" s="130"/>
      <c r="O246" s="130"/>
      <c r="P246" s="130"/>
      <c r="Q246" s="130"/>
      <c r="R246" s="130"/>
      <c r="S246" s="130"/>
      <c r="T246" s="130"/>
      <c r="U246" s="130"/>
      <c r="V246" s="130"/>
      <c r="W246" s="130"/>
      <c r="X246" s="130"/>
    </row>
    <row r="247" spans="2:24" ht="12" customHeight="1" x14ac:dyDescent="0.2">
      <c r="B247" s="130"/>
      <c r="C247" s="130"/>
      <c r="D247" s="130"/>
      <c r="E247" s="130"/>
      <c r="F247" s="130"/>
      <c r="G247" s="130"/>
      <c r="H247" s="130"/>
      <c r="I247" s="130"/>
      <c r="J247" s="130"/>
      <c r="K247" s="130"/>
      <c r="L247" s="130"/>
      <c r="M247" s="130"/>
      <c r="N247" s="130"/>
      <c r="O247" s="130"/>
      <c r="P247" s="130"/>
      <c r="Q247" s="130"/>
      <c r="R247" s="130"/>
      <c r="S247" s="130"/>
      <c r="T247" s="130"/>
      <c r="U247" s="130"/>
      <c r="V247" s="130"/>
      <c r="W247" s="130"/>
      <c r="X247" s="130"/>
    </row>
    <row r="248" spans="2:24" ht="12" customHeight="1" x14ac:dyDescent="0.2">
      <c r="B248" s="130"/>
      <c r="C248" s="130"/>
      <c r="D248" s="130"/>
      <c r="E248" s="130"/>
      <c r="F248" s="130"/>
      <c r="G248" s="130"/>
      <c r="H248" s="130"/>
      <c r="I248" s="130"/>
      <c r="J248" s="130"/>
      <c r="K248" s="130"/>
      <c r="L248" s="130"/>
      <c r="M248" s="130"/>
      <c r="N248" s="130"/>
      <c r="O248" s="130"/>
      <c r="P248" s="130"/>
      <c r="Q248" s="130"/>
      <c r="R248" s="130"/>
      <c r="S248" s="130"/>
      <c r="T248" s="130"/>
      <c r="U248" s="130"/>
      <c r="V248" s="130"/>
      <c r="W248" s="130"/>
      <c r="X248" s="130"/>
    </row>
    <row r="249" spans="2:24" ht="12" customHeight="1" x14ac:dyDescent="0.2">
      <c r="B249" s="130"/>
      <c r="C249" s="130"/>
      <c r="D249" s="130"/>
      <c r="E249" s="130"/>
      <c r="F249" s="130"/>
      <c r="G249" s="130"/>
      <c r="H249" s="130"/>
      <c r="I249" s="130"/>
      <c r="J249" s="130"/>
      <c r="K249" s="130"/>
      <c r="L249" s="130"/>
      <c r="M249" s="130"/>
      <c r="N249" s="130"/>
      <c r="O249" s="130"/>
      <c r="P249" s="130"/>
      <c r="Q249" s="130"/>
      <c r="R249" s="130"/>
      <c r="S249" s="130"/>
      <c r="T249" s="130"/>
      <c r="U249" s="130"/>
      <c r="V249" s="130"/>
      <c r="W249" s="130"/>
      <c r="X249" s="130"/>
    </row>
    <row r="250" spans="2:24" ht="12" customHeight="1" x14ac:dyDescent="0.2">
      <c r="B250" s="130"/>
      <c r="C250" s="130"/>
      <c r="D250" s="130"/>
      <c r="E250" s="130"/>
      <c r="F250" s="130"/>
      <c r="G250" s="130"/>
      <c r="H250" s="130"/>
      <c r="I250" s="130"/>
      <c r="J250" s="130"/>
      <c r="K250" s="130"/>
      <c r="L250" s="130"/>
      <c r="M250" s="130"/>
      <c r="N250" s="130"/>
      <c r="O250" s="130"/>
      <c r="P250" s="130"/>
      <c r="Q250" s="130"/>
      <c r="R250" s="130"/>
      <c r="S250" s="130"/>
      <c r="T250" s="130"/>
      <c r="U250" s="130"/>
      <c r="V250" s="130"/>
      <c r="W250" s="130"/>
      <c r="X250" s="130"/>
    </row>
    <row r="251" spans="2:24" ht="12" customHeight="1" x14ac:dyDescent="0.2">
      <c r="B251" s="130"/>
      <c r="C251" s="130"/>
      <c r="D251" s="130"/>
      <c r="E251" s="130"/>
      <c r="F251" s="130"/>
      <c r="G251" s="130"/>
      <c r="H251" s="130"/>
      <c r="I251" s="130"/>
      <c r="J251" s="130"/>
      <c r="K251" s="130"/>
      <c r="L251" s="130"/>
      <c r="M251" s="130"/>
      <c r="N251" s="130"/>
      <c r="O251" s="130"/>
      <c r="P251" s="130"/>
      <c r="Q251" s="130"/>
      <c r="R251" s="130"/>
      <c r="S251" s="130"/>
      <c r="T251" s="130"/>
      <c r="U251" s="130"/>
      <c r="V251" s="130"/>
      <c r="W251" s="130"/>
      <c r="X251" s="130"/>
    </row>
    <row r="252" spans="2:24" ht="12" customHeight="1" x14ac:dyDescent="0.2">
      <c r="B252" s="130"/>
      <c r="C252" s="130"/>
      <c r="D252" s="130"/>
      <c r="E252" s="130"/>
      <c r="F252" s="130"/>
      <c r="G252" s="130"/>
      <c r="H252" s="130"/>
      <c r="I252" s="130"/>
      <c r="J252" s="130"/>
      <c r="K252" s="130"/>
      <c r="L252" s="130"/>
      <c r="M252" s="130"/>
      <c r="N252" s="130"/>
      <c r="O252" s="130"/>
      <c r="P252" s="130"/>
      <c r="Q252" s="130"/>
      <c r="R252" s="130"/>
      <c r="S252" s="130"/>
      <c r="T252" s="130"/>
      <c r="U252" s="130"/>
      <c r="V252" s="130"/>
      <c r="W252" s="130"/>
      <c r="X252" s="130"/>
    </row>
    <row r="253" spans="2:24" ht="12" customHeight="1" x14ac:dyDescent="0.2">
      <c r="B253" s="130"/>
      <c r="C253" s="130"/>
      <c r="D253" s="130"/>
      <c r="E253" s="130"/>
      <c r="F253" s="130"/>
      <c r="G253" s="130"/>
      <c r="H253" s="130"/>
      <c r="I253" s="130"/>
      <c r="J253" s="130"/>
      <c r="K253" s="130"/>
      <c r="L253" s="130"/>
      <c r="M253" s="130"/>
      <c r="N253" s="130"/>
      <c r="O253" s="130"/>
      <c r="P253" s="130"/>
      <c r="Q253" s="130"/>
      <c r="R253" s="130"/>
      <c r="S253" s="130"/>
      <c r="T253" s="130"/>
      <c r="U253" s="130"/>
      <c r="V253" s="130"/>
      <c r="W253" s="130"/>
      <c r="X253" s="130"/>
    </row>
    <row r="254" spans="2:24" ht="12" customHeight="1" x14ac:dyDescent="0.2">
      <c r="B254" s="130"/>
      <c r="C254" s="130"/>
      <c r="D254" s="130"/>
      <c r="E254" s="130"/>
      <c r="F254" s="130"/>
      <c r="G254" s="130"/>
      <c r="H254" s="130"/>
      <c r="I254" s="130"/>
      <c r="J254" s="130"/>
      <c r="K254" s="130"/>
      <c r="L254" s="130"/>
      <c r="M254" s="130"/>
      <c r="N254" s="130"/>
      <c r="O254" s="130"/>
      <c r="P254" s="130"/>
      <c r="Q254" s="130"/>
      <c r="R254" s="130"/>
      <c r="S254" s="130"/>
      <c r="T254" s="130"/>
      <c r="U254" s="130"/>
      <c r="V254" s="130"/>
      <c r="W254" s="130"/>
      <c r="X254" s="130"/>
    </row>
    <row r="255" spans="2:24" ht="12" customHeight="1" x14ac:dyDescent="0.2">
      <c r="B255" s="130"/>
      <c r="C255" s="130"/>
      <c r="D255" s="130"/>
      <c r="E255" s="130"/>
      <c r="F255" s="130"/>
      <c r="G255" s="130"/>
      <c r="H255" s="130"/>
      <c r="I255" s="130"/>
      <c r="J255" s="130"/>
      <c r="K255" s="130"/>
      <c r="L255" s="130"/>
      <c r="M255" s="130"/>
      <c r="N255" s="130"/>
      <c r="O255" s="130"/>
      <c r="P255" s="130"/>
      <c r="Q255" s="130"/>
      <c r="R255" s="130"/>
      <c r="S255" s="130"/>
      <c r="T255" s="130"/>
      <c r="U255" s="130"/>
      <c r="V255" s="130"/>
      <c r="W255" s="130"/>
      <c r="X255" s="130"/>
    </row>
    <row r="256" spans="2:24" ht="12" customHeight="1" x14ac:dyDescent="0.2">
      <c r="B256" s="130"/>
      <c r="C256" s="130"/>
      <c r="D256" s="130"/>
      <c r="E256" s="130"/>
      <c r="F256" s="130"/>
      <c r="G256" s="130"/>
      <c r="H256" s="130"/>
      <c r="I256" s="130"/>
      <c r="J256" s="130"/>
      <c r="K256" s="130"/>
      <c r="L256" s="130"/>
      <c r="M256" s="130"/>
      <c r="N256" s="130"/>
      <c r="O256" s="130"/>
      <c r="P256" s="130"/>
      <c r="Q256" s="130"/>
      <c r="R256" s="130"/>
      <c r="S256" s="130"/>
      <c r="T256" s="130"/>
      <c r="U256" s="130"/>
      <c r="V256" s="130"/>
      <c r="W256" s="130"/>
      <c r="X256" s="130"/>
    </row>
    <row r="257" spans="2:24" ht="12" customHeight="1" x14ac:dyDescent="0.2">
      <c r="B257" s="130"/>
      <c r="C257" s="130"/>
      <c r="D257" s="130"/>
      <c r="E257" s="130"/>
      <c r="F257" s="130"/>
      <c r="G257" s="130"/>
      <c r="H257" s="130"/>
      <c r="I257" s="130"/>
      <c r="J257" s="130"/>
      <c r="K257" s="130"/>
      <c r="L257" s="130"/>
      <c r="M257" s="130"/>
      <c r="N257" s="130"/>
      <c r="O257" s="130"/>
      <c r="P257" s="130"/>
      <c r="Q257" s="130"/>
      <c r="R257" s="130"/>
      <c r="S257" s="130"/>
      <c r="T257" s="130"/>
      <c r="U257" s="130"/>
      <c r="V257" s="130"/>
      <c r="W257" s="130"/>
      <c r="X257" s="130"/>
    </row>
    <row r="258" spans="2:24" ht="12" customHeight="1" x14ac:dyDescent="0.2">
      <c r="B258" s="130"/>
      <c r="C258" s="130"/>
      <c r="D258" s="130"/>
      <c r="E258" s="130"/>
      <c r="F258" s="130"/>
      <c r="G258" s="130"/>
      <c r="H258" s="130"/>
      <c r="I258" s="130"/>
      <c r="J258" s="130"/>
      <c r="K258" s="130"/>
      <c r="L258" s="130"/>
      <c r="M258" s="130"/>
      <c r="N258" s="130"/>
      <c r="O258" s="130"/>
      <c r="P258" s="130"/>
      <c r="Q258" s="130"/>
      <c r="R258" s="130"/>
      <c r="S258" s="130"/>
      <c r="T258" s="130"/>
      <c r="U258" s="130"/>
      <c r="V258" s="130"/>
      <c r="W258" s="130"/>
      <c r="X258" s="130"/>
    </row>
    <row r="259" spans="2:24" ht="12" customHeight="1" x14ac:dyDescent="0.2">
      <c r="B259" s="130"/>
      <c r="C259" s="130"/>
      <c r="D259" s="130"/>
      <c r="E259" s="130"/>
      <c r="F259" s="130"/>
      <c r="G259" s="130"/>
      <c r="H259" s="130"/>
      <c r="I259" s="130"/>
      <c r="J259" s="130"/>
      <c r="K259" s="130"/>
      <c r="L259" s="130"/>
      <c r="M259" s="130"/>
      <c r="N259" s="130"/>
      <c r="O259" s="130"/>
      <c r="P259" s="130"/>
      <c r="Q259" s="130"/>
      <c r="R259" s="130"/>
      <c r="S259" s="130"/>
      <c r="T259" s="130"/>
      <c r="U259" s="130"/>
      <c r="V259" s="130"/>
      <c r="W259" s="130"/>
      <c r="X259" s="130"/>
    </row>
    <row r="260" spans="2:24" ht="12" customHeight="1" x14ac:dyDescent="0.2">
      <c r="B260" s="130"/>
      <c r="C260" s="130"/>
      <c r="D260" s="130"/>
      <c r="E260" s="130"/>
      <c r="F260" s="130"/>
      <c r="G260" s="130"/>
      <c r="H260" s="130"/>
      <c r="I260" s="130"/>
      <c r="J260" s="130"/>
      <c r="K260" s="130"/>
      <c r="L260" s="130"/>
      <c r="M260" s="130"/>
      <c r="N260" s="130"/>
      <c r="O260" s="130"/>
      <c r="P260" s="130"/>
      <c r="Q260" s="130"/>
      <c r="R260" s="130"/>
      <c r="S260" s="130"/>
      <c r="T260" s="130"/>
      <c r="U260" s="130"/>
      <c r="V260" s="130"/>
      <c r="W260" s="130"/>
      <c r="X260" s="130"/>
    </row>
    <row r="261" spans="2:24" ht="12" customHeight="1" x14ac:dyDescent="0.2">
      <c r="B261" s="130"/>
      <c r="C261" s="130"/>
      <c r="D261" s="130"/>
      <c r="E261" s="130"/>
      <c r="F261" s="130"/>
      <c r="G261" s="130"/>
      <c r="H261" s="130"/>
      <c r="I261" s="130"/>
      <c r="J261" s="130"/>
      <c r="K261" s="130"/>
      <c r="L261" s="130"/>
      <c r="M261" s="130"/>
      <c r="N261" s="130"/>
      <c r="O261" s="130"/>
      <c r="P261" s="130"/>
      <c r="Q261" s="130"/>
      <c r="R261" s="130"/>
      <c r="S261" s="130"/>
      <c r="T261" s="130"/>
      <c r="U261" s="130"/>
      <c r="V261" s="130"/>
      <c r="W261" s="130"/>
      <c r="X261" s="130"/>
    </row>
    <row r="262" spans="2:24" ht="12" customHeight="1" x14ac:dyDescent="0.2">
      <c r="B262" s="130"/>
      <c r="C262" s="130"/>
      <c r="D262" s="130"/>
      <c r="E262" s="130"/>
      <c r="F262" s="130"/>
      <c r="G262" s="130"/>
      <c r="H262" s="130"/>
      <c r="I262" s="130"/>
      <c r="J262" s="130"/>
      <c r="K262" s="130"/>
      <c r="L262" s="130"/>
      <c r="M262" s="130"/>
      <c r="N262" s="130"/>
      <c r="O262" s="130"/>
      <c r="P262" s="130"/>
      <c r="Q262" s="130"/>
      <c r="R262" s="130"/>
      <c r="S262" s="130"/>
      <c r="T262" s="130"/>
      <c r="U262" s="130"/>
      <c r="V262" s="130"/>
      <c r="W262" s="130"/>
      <c r="X262" s="130"/>
    </row>
    <row r="263" spans="2:24" ht="12" customHeight="1" x14ac:dyDescent="0.2">
      <c r="B263" s="130"/>
      <c r="C263" s="130"/>
      <c r="D263" s="130"/>
      <c r="E263" s="130"/>
      <c r="F263" s="130"/>
      <c r="G263" s="130"/>
      <c r="H263" s="130"/>
      <c r="I263" s="130"/>
      <c r="J263" s="130"/>
      <c r="K263" s="130"/>
      <c r="L263" s="130"/>
      <c r="M263" s="130"/>
      <c r="N263" s="130"/>
      <c r="O263" s="130"/>
      <c r="P263" s="130"/>
      <c r="Q263" s="130"/>
      <c r="R263" s="130"/>
      <c r="S263" s="130"/>
      <c r="T263" s="130"/>
      <c r="U263" s="130"/>
      <c r="V263" s="130"/>
      <c r="W263" s="130"/>
      <c r="X263" s="130"/>
    </row>
    <row r="264" spans="2:24" ht="12" customHeight="1" x14ac:dyDescent="0.2">
      <c r="B264" s="130"/>
      <c r="C264" s="130"/>
      <c r="D264" s="130"/>
      <c r="E264" s="130"/>
      <c r="F264" s="130"/>
      <c r="G264" s="130"/>
      <c r="H264" s="130"/>
      <c r="I264" s="130"/>
      <c r="J264" s="130"/>
      <c r="K264" s="130"/>
      <c r="L264" s="130"/>
      <c r="M264" s="130"/>
      <c r="N264" s="130"/>
      <c r="O264" s="130"/>
      <c r="P264" s="130"/>
      <c r="Q264" s="130"/>
      <c r="R264" s="130"/>
      <c r="S264" s="130"/>
      <c r="T264" s="130"/>
      <c r="U264" s="130"/>
      <c r="V264" s="130"/>
      <c r="W264" s="130"/>
      <c r="X264" s="130"/>
    </row>
    <row r="265" spans="2:24" ht="12" customHeight="1" x14ac:dyDescent="0.2">
      <c r="B265" s="130"/>
      <c r="C265" s="130"/>
      <c r="D265" s="130"/>
      <c r="E265" s="130"/>
      <c r="F265" s="130"/>
      <c r="G265" s="130"/>
      <c r="H265" s="130"/>
      <c r="I265" s="130"/>
      <c r="J265" s="130"/>
      <c r="K265" s="130"/>
      <c r="L265" s="130"/>
      <c r="M265" s="130"/>
      <c r="N265" s="130"/>
      <c r="O265" s="130"/>
      <c r="P265" s="130"/>
      <c r="Q265" s="130"/>
      <c r="R265" s="130"/>
      <c r="S265" s="130"/>
      <c r="T265" s="130"/>
      <c r="U265" s="130"/>
      <c r="V265" s="130"/>
      <c r="W265" s="130"/>
      <c r="X265" s="130"/>
    </row>
    <row r="266" spans="2:24" ht="12" customHeight="1" x14ac:dyDescent="0.2">
      <c r="B266" s="130"/>
      <c r="C266" s="130"/>
      <c r="D266" s="130"/>
      <c r="E266" s="130"/>
      <c r="F266" s="130"/>
      <c r="G266" s="130"/>
      <c r="H266" s="130"/>
      <c r="I266" s="130"/>
      <c r="J266" s="130"/>
      <c r="K266" s="130"/>
      <c r="L266" s="130"/>
      <c r="M266" s="130"/>
      <c r="N266" s="130"/>
      <c r="O266" s="130"/>
      <c r="P266" s="130"/>
      <c r="Q266" s="130"/>
      <c r="R266" s="130"/>
      <c r="S266" s="130"/>
      <c r="T266" s="130"/>
      <c r="U266" s="130"/>
      <c r="V266" s="130"/>
      <c r="W266" s="130"/>
      <c r="X266" s="130"/>
    </row>
    <row r="267" spans="2:24" ht="12" customHeight="1" x14ac:dyDescent="0.2">
      <c r="B267" s="130"/>
      <c r="C267" s="130"/>
      <c r="D267" s="130"/>
      <c r="E267" s="130"/>
      <c r="F267" s="130"/>
      <c r="G267" s="130"/>
      <c r="H267" s="130"/>
      <c r="I267" s="130"/>
      <c r="J267" s="130"/>
      <c r="K267" s="130"/>
      <c r="L267" s="130"/>
      <c r="M267" s="130"/>
      <c r="N267" s="130"/>
      <c r="O267" s="130"/>
      <c r="P267" s="130"/>
      <c r="Q267" s="130"/>
      <c r="R267" s="130"/>
      <c r="S267" s="130"/>
      <c r="T267" s="130"/>
      <c r="U267" s="130"/>
      <c r="V267" s="130"/>
      <c r="W267" s="130"/>
      <c r="X267" s="130"/>
    </row>
    <row r="268" spans="2:24" ht="12" customHeight="1" x14ac:dyDescent="0.2">
      <c r="B268" s="130"/>
      <c r="C268" s="130"/>
      <c r="D268" s="130"/>
      <c r="E268" s="130"/>
      <c r="F268" s="130"/>
      <c r="G268" s="130"/>
      <c r="H268" s="130"/>
      <c r="I268" s="130"/>
      <c r="J268" s="130"/>
      <c r="K268" s="130"/>
      <c r="L268" s="130"/>
      <c r="M268" s="130"/>
      <c r="N268" s="130"/>
      <c r="O268" s="130"/>
      <c r="P268" s="130"/>
      <c r="Q268" s="130"/>
      <c r="R268" s="130"/>
      <c r="S268" s="130"/>
      <c r="T268" s="130"/>
      <c r="U268" s="130"/>
      <c r="V268" s="130"/>
      <c r="W268" s="130"/>
      <c r="X268" s="130"/>
    </row>
    <row r="269" spans="2:24" ht="12" customHeight="1" x14ac:dyDescent="0.2">
      <c r="B269" s="130"/>
      <c r="C269" s="130"/>
      <c r="D269" s="130"/>
      <c r="E269" s="130"/>
      <c r="F269" s="130"/>
      <c r="G269" s="130"/>
      <c r="H269" s="130"/>
      <c r="I269" s="130"/>
      <c r="J269" s="130"/>
      <c r="K269" s="130"/>
      <c r="L269" s="130"/>
      <c r="M269" s="130"/>
      <c r="N269" s="130"/>
      <c r="O269" s="130"/>
      <c r="P269" s="130"/>
      <c r="Q269" s="130"/>
      <c r="R269" s="130"/>
      <c r="S269" s="130"/>
      <c r="T269" s="130"/>
      <c r="U269" s="130"/>
      <c r="V269" s="130"/>
      <c r="W269" s="130"/>
      <c r="X269" s="130"/>
    </row>
    <row r="270" spans="2:24" ht="12" customHeight="1" x14ac:dyDescent="0.2">
      <c r="B270" s="130"/>
      <c r="C270" s="130"/>
      <c r="D270" s="130"/>
      <c r="E270" s="130"/>
      <c r="F270" s="130"/>
      <c r="G270" s="130"/>
      <c r="H270" s="130"/>
      <c r="I270" s="130"/>
      <c r="J270" s="130"/>
      <c r="K270" s="130"/>
      <c r="L270" s="130"/>
      <c r="M270" s="130"/>
      <c r="N270" s="130"/>
      <c r="O270" s="130"/>
      <c r="P270" s="130"/>
      <c r="Q270" s="130"/>
      <c r="R270" s="130"/>
      <c r="S270" s="130"/>
      <c r="T270" s="130"/>
      <c r="U270" s="130"/>
      <c r="V270" s="130"/>
      <c r="W270" s="130"/>
      <c r="X270" s="130"/>
    </row>
    <row r="271" spans="2:24" ht="12" customHeight="1" x14ac:dyDescent="0.2">
      <c r="B271" s="130"/>
      <c r="C271" s="130"/>
      <c r="D271" s="130"/>
      <c r="E271" s="130"/>
      <c r="F271" s="130"/>
      <c r="G271" s="130"/>
      <c r="H271" s="130"/>
      <c r="I271" s="130"/>
      <c r="J271" s="130"/>
      <c r="K271" s="130"/>
      <c r="L271" s="130"/>
      <c r="M271" s="130"/>
      <c r="N271" s="130"/>
      <c r="O271" s="130"/>
      <c r="P271" s="130"/>
      <c r="Q271" s="130"/>
      <c r="R271" s="130"/>
      <c r="S271" s="130"/>
      <c r="T271" s="130"/>
      <c r="U271" s="130"/>
      <c r="V271" s="130"/>
      <c r="W271" s="130"/>
      <c r="X271" s="130"/>
    </row>
    <row r="272" spans="2:24" ht="12" customHeight="1" x14ac:dyDescent="0.2">
      <c r="B272" s="130"/>
      <c r="C272" s="130"/>
      <c r="D272" s="130"/>
      <c r="E272" s="130"/>
      <c r="F272" s="130"/>
      <c r="G272" s="130"/>
      <c r="H272" s="130"/>
      <c r="I272" s="130"/>
      <c r="J272" s="130"/>
      <c r="K272" s="130"/>
      <c r="L272" s="130"/>
      <c r="M272" s="130"/>
      <c r="N272" s="130"/>
      <c r="O272" s="130"/>
      <c r="P272" s="130"/>
      <c r="Q272" s="130"/>
      <c r="R272" s="130"/>
      <c r="S272" s="130"/>
      <c r="T272" s="130"/>
      <c r="U272" s="130"/>
      <c r="V272" s="130"/>
      <c r="W272" s="130"/>
      <c r="X272" s="130"/>
    </row>
    <row r="273" spans="2:24" ht="12" customHeight="1" x14ac:dyDescent="0.2">
      <c r="B273" s="130"/>
      <c r="C273" s="130"/>
      <c r="D273" s="130"/>
      <c r="E273" s="130"/>
      <c r="F273" s="130"/>
      <c r="G273" s="130"/>
      <c r="H273" s="130"/>
      <c r="I273" s="130"/>
      <c r="J273" s="130"/>
      <c r="K273" s="130"/>
      <c r="L273" s="130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</row>
    <row r="274" spans="2:24" ht="12" customHeight="1" x14ac:dyDescent="0.2">
      <c r="B274" s="130"/>
      <c r="C274" s="130"/>
      <c r="D274" s="130"/>
      <c r="E274" s="130"/>
      <c r="F274" s="130"/>
      <c r="G274" s="130"/>
      <c r="H274" s="130"/>
      <c r="I274" s="130"/>
      <c r="J274" s="130"/>
      <c r="K274" s="130"/>
      <c r="L274" s="130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</row>
    <row r="275" spans="2:24" ht="12" customHeight="1" x14ac:dyDescent="0.2">
      <c r="B275" s="130"/>
      <c r="C275" s="130"/>
      <c r="D275" s="130"/>
      <c r="E275" s="130"/>
      <c r="F275" s="130"/>
      <c r="G275" s="130"/>
      <c r="H275" s="130"/>
      <c r="I275" s="130"/>
      <c r="J275" s="130"/>
      <c r="K275" s="130"/>
      <c r="L275" s="130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</row>
    <row r="276" spans="2:24" ht="12" customHeight="1" x14ac:dyDescent="0.2">
      <c r="B276" s="130"/>
      <c r="C276" s="130"/>
      <c r="D276" s="130"/>
      <c r="E276" s="130"/>
      <c r="F276" s="130"/>
      <c r="G276" s="130"/>
      <c r="H276" s="130"/>
      <c r="I276" s="130"/>
      <c r="J276" s="130"/>
      <c r="K276" s="130"/>
      <c r="L276" s="130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</row>
    <row r="277" spans="2:24" ht="12" customHeight="1" x14ac:dyDescent="0.2">
      <c r="B277" s="130"/>
      <c r="C277" s="130"/>
      <c r="D277" s="130"/>
      <c r="E277" s="130"/>
      <c r="F277" s="130"/>
      <c r="G277" s="130"/>
      <c r="H277" s="130"/>
      <c r="I277" s="130"/>
      <c r="J277" s="130"/>
      <c r="K277" s="130"/>
      <c r="L277" s="130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</row>
    <row r="278" spans="2:24" ht="12" customHeight="1" x14ac:dyDescent="0.2">
      <c r="B278" s="130"/>
      <c r="C278" s="130"/>
      <c r="D278" s="130"/>
      <c r="E278" s="130"/>
      <c r="F278" s="130"/>
      <c r="G278" s="130"/>
      <c r="H278" s="130"/>
      <c r="I278" s="130"/>
      <c r="J278" s="130"/>
      <c r="K278" s="130"/>
      <c r="L278" s="130"/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0"/>
    </row>
    <row r="279" spans="2:24" ht="12" customHeight="1" x14ac:dyDescent="0.2">
      <c r="B279" s="130"/>
      <c r="C279" s="130"/>
      <c r="D279" s="130"/>
      <c r="E279" s="130"/>
      <c r="F279" s="130"/>
      <c r="G279" s="130"/>
      <c r="H279" s="130"/>
      <c r="I279" s="130"/>
      <c r="J279" s="130"/>
      <c r="K279" s="130"/>
      <c r="L279" s="130"/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0"/>
    </row>
    <row r="280" spans="2:24" ht="12" customHeight="1" x14ac:dyDescent="0.2">
      <c r="B280" s="130"/>
      <c r="C280" s="130"/>
      <c r="D280" s="130"/>
      <c r="E280" s="130"/>
      <c r="F280" s="130"/>
      <c r="G280" s="130"/>
      <c r="H280" s="130"/>
      <c r="I280" s="130"/>
      <c r="J280" s="130"/>
      <c r="K280" s="130"/>
      <c r="L280" s="130"/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0"/>
    </row>
    <row r="281" spans="2:24" ht="12" customHeight="1" x14ac:dyDescent="0.2">
      <c r="B281" s="130"/>
      <c r="C281" s="130"/>
      <c r="D281" s="130"/>
      <c r="E281" s="130"/>
      <c r="F281" s="130"/>
      <c r="G281" s="130"/>
      <c r="H281" s="130"/>
      <c r="I281" s="130"/>
      <c r="J281" s="130"/>
      <c r="K281" s="130"/>
      <c r="L281" s="130"/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0"/>
    </row>
    <row r="282" spans="2:24" ht="12" customHeight="1" x14ac:dyDescent="0.2">
      <c r="B282" s="130"/>
      <c r="C282" s="130"/>
      <c r="D282" s="130"/>
      <c r="E282" s="130"/>
      <c r="F282" s="130"/>
      <c r="G282" s="130"/>
      <c r="H282" s="130"/>
      <c r="I282" s="130"/>
      <c r="J282" s="130"/>
      <c r="K282" s="130"/>
      <c r="L282" s="130"/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0"/>
    </row>
    <row r="283" spans="2:24" ht="12" customHeight="1" x14ac:dyDescent="0.2">
      <c r="B283" s="130"/>
      <c r="C283" s="130"/>
      <c r="D283" s="130"/>
      <c r="E283" s="130"/>
      <c r="F283" s="130"/>
      <c r="G283" s="130"/>
      <c r="H283" s="130"/>
      <c r="I283" s="130"/>
      <c r="J283" s="130"/>
      <c r="K283" s="130"/>
      <c r="L283" s="130"/>
      <c r="M283" s="130"/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/>
    </row>
    <row r="284" spans="2:24" ht="12" customHeight="1" x14ac:dyDescent="0.2">
      <c r="B284" s="130"/>
      <c r="C284" s="130"/>
      <c r="D284" s="130"/>
      <c r="E284" s="130"/>
      <c r="F284" s="130"/>
      <c r="G284" s="130"/>
      <c r="H284" s="130"/>
      <c r="I284" s="130"/>
      <c r="J284" s="130"/>
      <c r="K284" s="130"/>
      <c r="L284" s="130"/>
      <c r="M284" s="130"/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/>
    </row>
    <row r="285" spans="2:24" ht="12" customHeight="1" x14ac:dyDescent="0.2">
      <c r="B285" s="130"/>
      <c r="C285" s="130"/>
      <c r="D285" s="130"/>
      <c r="E285" s="130"/>
      <c r="F285" s="130"/>
      <c r="G285" s="130"/>
      <c r="H285" s="130"/>
      <c r="I285" s="130"/>
      <c r="J285" s="130"/>
      <c r="K285" s="130"/>
      <c r="L285" s="130"/>
      <c r="M285" s="130"/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/>
    </row>
    <row r="286" spans="2:24" ht="12" customHeight="1" x14ac:dyDescent="0.2">
      <c r="B286" s="130"/>
      <c r="C286" s="130"/>
      <c r="D286" s="130"/>
      <c r="E286" s="130"/>
      <c r="F286" s="130"/>
      <c r="G286" s="130"/>
      <c r="H286" s="130"/>
      <c r="I286" s="130"/>
      <c r="J286" s="130"/>
      <c r="K286" s="130"/>
      <c r="L286" s="130"/>
      <c r="M286" s="130"/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/>
    </row>
    <row r="287" spans="2:24" ht="12" customHeight="1" x14ac:dyDescent="0.2">
      <c r="B287" s="130"/>
      <c r="C287" s="130"/>
      <c r="D287" s="130"/>
      <c r="E287" s="130"/>
      <c r="F287" s="130"/>
      <c r="G287" s="130"/>
      <c r="H287" s="130"/>
      <c r="I287" s="130"/>
      <c r="J287" s="130"/>
      <c r="K287" s="130"/>
      <c r="L287" s="130"/>
      <c r="M287" s="130"/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/>
    </row>
    <row r="288" spans="2:24" ht="12" customHeight="1" x14ac:dyDescent="0.2">
      <c r="B288" s="130"/>
      <c r="C288" s="130"/>
      <c r="D288" s="130"/>
      <c r="E288" s="130"/>
      <c r="F288" s="130"/>
      <c r="G288" s="130"/>
      <c r="H288" s="130"/>
      <c r="I288" s="130"/>
      <c r="J288" s="130"/>
      <c r="K288" s="130"/>
      <c r="L288" s="130"/>
      <c r="M288" s="130"/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/>
    </row>
    <row r="289" spans="2:24" ht="12" customHeight="1" x14ac:dyDescent="0.2">
      <c r="B289" s="130"/>
      <c r="C289" s="130"/>
      <c r="D289" s="130"/>
      <c r="E289" s="130"/>
      <c r="F289" s="130"/>
      <c r="G289" s="130"/>
      <c r="H289" s="130"/>
      <c r="I289" s="130"/>
      <c r="J289" s="130"/>
      <c r="K289" s="130"/>
      <c r="L289" s="130"/>
      <c r="M289" s="130"/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/>
    </row>
    <row r="290" spans="2:24" ht="12" customHeight="1" x14ac:dyDescent="0.2">
      <c r="B290" s="130"/>
      <c r="C290" s="130"/>
      <c r="D290" s="130"/>
      <c r="E290" s="130"/>
      <c r="F290" s="130"/>
      <c r="G290" s="130"/>
      <c r="H290" s="130"/>
      <c r="I290" s="130"/>
      <c r="J290" s="130"/>
      <c r="K290" s="130"/>
      <c r="L290" s="130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</row>
    <row r="291" spans="2:24" ht="12" customHeight="1" x14ac:dyDescent="0.2">
      <c r="B291" s="130"/>
      <c r="C291" s="130"/>
      <c r="D291" s="130"/>
      <c r="E291" s="130"/>
      <c r="F291" s="130"/>
      <c r="G291" s="130"/>
      <c r="H291" s="130"/>
      <c r="I291" s="130"/>
      <c r="J291" s="130"/>
      <c r="K291" s="130"/>
      <c r="L291" s="130"/>
      <c r="M291" s="130"/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/>
    </row>
    <row r="292" spans="2:24" ht="12" customHeight="1" x14ac:dyDescent="0.2">
      <c r="B292" s="130"/>
      <c r="C292" s="130"/>
      <c r="D292" s="130"/>
      <c r="E292" s="130"/>
      <c r="F292" s="130"/>
      <c r="G292" s="130"/>
      <c r="H292" s="130"/>
      <c r="I292" s="130"/>
      <c r="J292" s="130"/>
      <c r="K292" s="130"/>
      <c r="L292" s="130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</row>
    <row r="293" spans="2:24" ht="12" customHeight="1" x14ac:dyDescent="0.2">
      <c r="B293" s="130"/>
      <c r="C293" s="130"/>
      <c r="D293" s="130"/>
      <c r="E293" s="130"/>
      <c r="F293" s="130"/>
      <c r="G293" s="130"/>
      <c r="H293" s="130"/>
      <c r="I293" s="130"/>
      <c r="J293" s="130"/>
      <c r="K293" s="130"/>
      <c r="L293" s="130"/>
      <c r="M293" s="130"/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/>
    </row>
    <row r="294" spans="2:24" ht="12" customHeight="1" x14ac:dyDescent="0.2">
      <c r="B294" s="130"/>
      <c r="C294" s="130"/>
      <c r="D294" s="130"/>
      <c r="E294" s="130"/>
      <c r="F294" s="130"/>
      <c r="G294" s="130"/>
      <c r="H294" s="130"/>
      <c r="I294" s="130"/>
      <c r="J294" s="130"/>
      <c r="K294" s="130"/>
      <c r="L294" s="130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</row>
    <row r="295" spans="2:24" ht="12" customHeight="1" x14ac:dyDescent="0.2">
      <c r="B295" s="130"/>
      <c r="C295" s="130"/>
      <c r="D295" s="130"/>
      <c r="E295" s="130"/>
      <c r="F295" s="130"/>
      <c r="G295" s="130"/>
      <c r="H295" s="130"/>
      <c r="I295" s="130"/>
      <c r="J295" s="130"/>
      <c r="K295" s="130"/>
      <c r="L295" s="130"/>
      <c r="M295" s="130"/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/>
    </row>
    <row r="296" spans="2:24" ht="12" customHeight="1" x14ac:dyDescent="0.2">
      <c r="B296" s="130"/>
      <c r="C296" s="130"/>
      <c r="D296" s="130"/>
      <c r="E296" s="130"/>
      <c r="F296" s="130"/>
      <c r="G296" s="130"/>
      <c r="H296" s="130"/>
      <c r="I296" s="130"/>
      <c r="J296" s="130"/>
      <c r="K296" s="130"/>
      <c r="L296" s="130"/>
      <c r="M296" s="130"/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/>
    </row>
    <row r="297" spans="2:24" ht="12" customHeight="1" x14ac:dyDescent="0.2">
      <c r="B297" s="130"/>
      <c r="C297" s="130"/>
      <c r="D297" s="130"/>
      <c r="E297" s="130"/>
      <c r="F297" s="130"/>
      <c r="G297" s="130"/>
      <c r="H297" s="130"/>
      <c r="I297" s="130"/>
      <c r="J297" s="130"/>
      <c r="K297" s="130"/>
      <c r="L297" s="130"/>
      <c r="M297" s="130"/>
      <c r="N297" s="130"/>
      <c r="O297" s="130"/>
      <c r="P297" s="130"/>
      <c r="Q297" s="130"/>
      <c r="R297" s="130"/>
      <c r="S297" s="130"/>
      <c r="T297" s="130"/>
      <c r="U297" s="130"/>
      <c r="V297" s="130"/>
      <c r="W297" s="130"/>
      <c r="X297" s="130"/>
    </row>
    <row r="298" spans="2:24" ht="12" customHeight="1" x14ac:dyDescent="0.2">
      <c r="B298" s="130"/>
      <c r="C298" s="130"/>
      <c r="D298" s="130"/>
      <c r="E298" s="130"/>
      <c r="F298" s="130"/>
      <c r="G298" s="130"/>
      <c r="H298" s="130"/>
      <c r="I298" s="130"/>
      <c r="J298" s="130"/>
      <c r="K298" s="130"/>
      <c r="L298" s="130"/>
      <c r="M298" s="130"/>
      <c r="N298" s="130"/>
      <c r="O298" s="130"/>
      <c r="P298" s="130"/>
      <c r="Q298" s="130"/>
      <c r="R298" s="130"/>
      <c r="S298" s="130"/>
      <c r="T298" s="130"/>
      <c r="U298" s="130"/>
      <c r="V298" s="130"/>
      <c r="W298" s="130"/>
      <c r="X298" s="130"/>
    </row>
    <row r="299" spans="2:24" ht="12" customHeight="1" x14ac:dyDescent="0.2">
      <c r="B299" s="130"/>
      <c r="C299" s="130"/>
      <c r="D299" s="130"/>
      <c r="E299" s="130"/>
      <c r="F299" s="130"/>
      <c r="G299" s="130"/>
      <c r="H299" s="130"/>
      <c r="I299" s="130"/>
      <c r="J299" s="130"/>
      <c r="K299" s="130"/>
      <c r="L299" s="130"/>
      <c r="M299" s="130"/>
      <c r="N299" s="130"/>
      <c r="O299" s="130"/>
      <c r="P299" s="130"/>
      <c r="Q299" s="130"/>
      <c r="R299" s="130"/>
      <c r="S299" s="130"/>
      <c r="T299" s="130"/>
      <c r="U299" s="130"/>
      <c r="V299" s="130"/>
      <c r="W299" s="130"/>
      <c r="X299" s="130"/>
    </row>
    <row r="300" spans="2:24" ht="12" customHeight="1" x14ac:dyDescent="0.2">
      <c r="B300" s="130"/>
      <c r="C300" s="130"/>
      <c r="D300" s="130"/>
      <c r="E300" s="130"/>
      <c r="F300" s="130"/>
      <c r="G300" s="130"/>
      <c r="H300" s="130"/>
      <c r="I300" s="130"/>
      <c r="J300" s="130"/>
      <c r="K300" s="130"/>
      <c r="L300" s="130"/>
      <c r="M300" s="130"/>
      <c r="N300" s="130"/>
      <c r="O300" s="130"/>
      <c r="P300" s="130"/>
      <c r="Q300" s="130"/>
      <c r="R300" s="130"/>
      <c r="S300" s="130"/>
      <c r="T300" s="130"/>
      <c r="U300" s="130"/>
      <c r="V300" s="130"/>
      <c r="W300" s="130"/>
      <c r="X300" s="130"/>
    </row>
    <row r="301" spans="2:24" ht="12" customHeight="1" x14ac:dyDescent="0.2">
      <c r="B301" s="130"/>
      <c r="C301" s="130"/>
      <c r="D301" s="130"/>
      <c r="E301" s="130"/>
      <c r="F301" s="130"/>
      <c r="G301" s="130"/>
      <c r="H301" s="130"/>
      <c r="I301" s="130"/>
      <c r="J301" s="130"/>
      <c r="K301" s="130"/>
      <c r="L301" s="130"/>
      <c r="M301" s="130"/>
      <c r="N301" s="130"/>
      <c r="O301" s="130"/>
      <c r="P301" s="130"/>
      <c r="Q301" s="130"/>
      <c r="R301" s="130"/>
      <c r="S301" s="130"/>
      <c r="T301" s="130"/>
      <c r="U301" s="130"/>
      <c r="V301" s="130"/>
      <c r="W301" s="130"/>
      <c r="X301" s="130"/>
    </row>
    <row r="302" spans="2:24" ht="12" customHeight="1" x14ac:dyDescent="0.2">
      <c r="B302" s="130"/>
      <c r="C302" s="130"/>
      <c r="D302" s="130"/>
      <c r="E302" s="130"/>
      <c r="F302" s="130"/>
      <c r="G302" s="130"/>
      <c r="H302" s="130"/>
      <c r="I302" s="130"/>
      <c r="J302" s="130"/>
      <c r="K302" s="130"/>
      <c r="L302" s="130"/>
      <c r="M302" s="130"/>
      <c r="N302" s="130"/>
      <c r="O302" s="130"/>
      <c r="P302" s="130"/>
      <c r="Q302" s="130"/>
      <c r="R302" s="130"/>
      <c r="S302" s="130"/>
      <c r="T302" s="130"/>
      <c r="U302" s="130"/>
      <c r="V302" s="130"/>
      <c r="W302" s="130"/>
      <c r="X302" s="130"/>
    </row>
    <row r="303" spans="2:24" ht="12" customHeight="1" x14ac:dyDescent="0.2">
      <c r="B303" s="130"/>
      <c r="C303" s="130"/>
      <c r="D303" s="130"/>
      <c r="E303" s="130"/>
      <c r="F303" s="130"/>
      <c r="G303" s="130"/>
      <c r="H303" s="130"/>
      <c r="I303" s="130"/>
      <c r="J303" s="130"/>
      <c r="K303" s="130"/>
      <c r="L303" s="130"/>
      <c r="M303" s="130"/>
      <c r="N303" s="130"/>
      <c r="O303" s="130"/>
      <c r="P303" s="130"/>
      <c r="Q303" s="130"/>
      <c r="R303" s="130"/>
      <c r="S303" s="130"/>
      <c r="T303" s="130"/>
      <c r="U303" s="130"/>
      <c r="V303" s="130"/>
      <c r="W303" s="130"/>
      <c r="X303" s="130"/>
    </row>
    <row r="304" spans="2:24" ht="12" customHeight="1" x14ac:dyDescent="0.2">
      <c r="B304" s="130"/>
      <c r="C304" s="130"/>
      <c r="D304" s="130"/>
      <c r="E304" s="130"/>
      <c r="F304" s="130"/>
      <c r="G304" s="130"/>
      <c r="H304" s="130"/>
      <c r="I304" s="130"/>
      <c r="J304" s="130"/>
      <c r="K304" s="130"/>
      <c r="L304" s="130"/>
      <c r="M304" s="130"/>
      <c r="N304" s="130"/>
      <c r="O304" s="130"/>
      <c r="P304" s="130"/>
      <c r="Q304" s="130"/>
      <c r="R304" s="130"/>
      <c r="S304" s="130"/>
      <c r="T304" s="130"/>
      <c r="U304" s="130"/>
      <c r="V304" s="130"/>
      <c r="W304" s="130"/>
      <c r="X304" s="130"/>
    </row>
    <row r="305" spans="2:24" ht="12" customHeight="1" x14ac:dyDescent="0.2">
      <c r="B305" s="130"/>
      <c r="C305" s="130"/>
      <c r="D305" s="130"/>
      <c r="E305" s="130"/>
      <c r="F305" s="130"/>
      <c r="G305" s="130"/>
      <c r="H305" s="130"/>
      <c r="I305" s="130"/>
      <c r="J305" s="130"/>
      <c r="K305" s="130"/>
      <c r="L305" s="130"/>
      <c r="M305" s="130"/>
      <c r="N305" s="130"/>
      <c r="O305" s="130"/>
      <c r="P305" s="130"/>
      <c r="Q305" s="130"/>
      <c r="R305" s="130"/>
      <c r="S305" s="130"/>
      <c r="T305" s="130"/>
      <c r="U305" s="130"/>
      <c r="V305" s="130"/>
      <c r="W305" s="130"/>
      <c r="X305" s="130"/>
    </row>
    <row r="306" spans="2:24" ht="12" customHeight="1" x14ac:dyDescent="0.2">
      <c r="B306" s="130"/>
      <c r="C306" s="130"/>
      <c r="D306" s="130"/>
      <c r="E306" s="130"/>
      <c r="F306" s="130"/>
      <c r="G306" s="130"/>
      <c r="H306" s="130"/>
      <c r="I306" s="130"/>
      <c r="J306" s="130"/>
      <c r="K306" s="130"/>
      <c r="L306" s="130"/>
      <c r="M306" s="130"/>
      <c r="N306" s="130"/>
      <c r="O306" s="130"/>
      <c r="P306" s="130"/>
      <c r="Q306" s="130"/>
      <c r="R306" s="130"/>
      <c r="S306" s="130"/>
      <c r="T306" s="130"/>
      <c r="U306" s="130"/>
      <c r="V306" s="130"/>
      <c r="W306" s="130"/>
      <c r="X306" s="130"/>
    </row>
    <row r="307" spans="2:24" ht="12" customHeight="1" x14ac:dyDescent="0.2">
      <c r="B307" s="130"/>
      <c r="C307" s="130"/>
      <c r="D307" s="130"/>
      <c r="E307" s="130"/>
      <c r="F307" s="130"/>
      <c r="G307" s="130"/>
      <c r="H307" s="130"/>
      <c r="I307" s="130"/>
      <c r="J307" s="130"/>
      <c r="K307" s="130"/>
      <c r="L307" s="130"/>
      <c r="M307" s="130"/>
      <c r="N307" s="130"/>
      <c r="O307" s="130"/>
      <c r="P307" s="130"/>
      <c r="Q307" s="130"/>
      <c r="R307" s="130"/>
      <c r="S307" s="130"/>
      <c r="T307" s="130"/>
      <c r="U307" s="130"/>
      <c r="V307" s="130"/>
      <c r="W307" s="130"/>
      <c r="X307" s="130"/>
    </row>
    <row r="308" spans="2:24" ht="12" customHeight="1" x14ac:dyDescent="0.2">
      <c r="B308" s="130"/>
      <c r="C308" s="130"/>
      <c r="D308" s="130"/>
      <c r="E308" s="130"/>
      <c r="F308" s="130"/>
      <c r="G308" s="130"/>
      <c r="H308" s="130"/>
      <c r="I308" s="130"/>
      <c r="J308" s="130"/>
      <c r="K308" s="130"/>
      <c r="L308" s="130"/>
      <c r="M308" s="130"/>
      <c r="N308" s="130"/>
      <c r="O308" s="130"/>
      <c r="P308" s="130"/>
      <c r="Q308" s="130"/>
      <c r="R308" s="130"/>
      <c r="S308" s="130"/>
      <c r="T308" s="130"/>
      <c r="U308" s="130"/>
      <c r="V308" s="130"/>
      <c r="W308" s="130"/>
      <c r="X308" s="130"/>
    </row>
    <row r="309" spans="2:24" ht="12" customHeight="1" x14ac:dyDescent="0.2">
      <c r="B309" s="130"/>
      <c r="C309" s="130"/>
      <c r="D309" s="130"/>
      <c r="E309" s="130"/>
      <c r="F309" s="130"/>
      <c r="G309" s="130"/>
      <c r="H309" s="130"/>
      <c r="I309" s="130"/>
      <c r="J309" s="130"/>
      <c r="K309" s="130"/>
      <c r="L309" s="130"/>
      <c r="M309" s="130"/>
      <c r="N309" s="130"/>
      <c r="O309" s="130"/>
      <c r="P309" s="130"/>
      <c r="Q309" s="130"/>
      <c r="R309" s="130"/>
      <c r="S309" s="130"/>
      <c r="T309" s="130"/>
      <c r="U309" s="130"/>
      <c r="V309" s="130"/>
      <c r="W309" s="130"/>
      <c r="X309" s="130"/>
    </row>
    <row r="310" spans="2:24" ht="12" customHeight="1" x14ac:dyDescent="0.2">
      <c r="B310" s="130"/>
      <c r="C310" s="130"/>
      <c r="D310" s="130"/>
      <c r="E310" s="130"/>
      <c r="F310" s="130"/>
      <c r="G310" s="130"/>
      <c r="H310" s="130"/>
      <c r="I310" s="130"/>
      <c r="J310" s="130"/>
      <c r="K310" s="130"/>
      <c r="L310" s="130"/>
      <c r="M310" s="130"/>
      <c r="N310" s="130"/>
      <c r="O310" s="130"/>
      <c r="P310" s="130"/>
      <c r="Q310" s="130"/>
      <c r="R310" s="130"/>
      <c r="S310" s="130"/>
      <c r="T310" s="130"/>
      <c r="U310" s="130"/>
      <c r="V310" s="130"/>
      <c r="W310" s="130"/>
      <c r="X310" s="130"/>
    </row>
    <row r="311" spans="2:24" ht="12" customHeight="1" x14ac:dyDescent="0.2">
      <c r="B311" s="130"/>
      <c r="C311" s="130"/>
      <c r="D311" s="130"/>
      <c r="E311" s="130"/>
      <c r="F311" s="130"/>
      <c r="G311" s="130"/>
      <c r="H311" s="130"/>
      <c r="I311" s="130"/>
      <c r="J311" s="130"/>
      <c r="K311" s="130"/>
      <c r="L311" s="130"/>
      <c r="M311" s="130"/>
      <c r="N311" s="130"/>
      <c r="O311" s="130"/>
      <c r="P311" s="130"/>
      <c r="Q311" s="130"/>
      <c r="R311" s="130"/>
      <c r="S311" s="130"/>
      <c r="T311" s="130"/>
      <c r="U311" s="130"/>
      <c r="V311" s="130"/>
      <c r="W311" s="130"/>
      <c r="X311" s="130"/>
    </row>
    <row r="312" spans="2:24" ht="12" customHeight="1" x14ac:dyDescent="0.2">
      <c r="B312" s="130"/>
      <c r="C312" s="130"/>
      <c r="D312" s="130"/>
      <c r="E312" s="130"/>
      <c r="F312" s="130"/>
      <c r="G312" s="130"/>
      <c r="H312" s="130"/>
      <c r="I312" s="130"/>
      <c r="J312" s="130"/>
      <c r="K312" s="130"/>
      <c r="L312" s="130"/>
      <c r="M312" s="130"/>
      <c r="N312" s="130"/>
      <c r="O312" s="130"/>
      <c r="P312" s="130"/>
      <c r="Q312" s="130"/>
      <c r="R312" s="130"/>
      <c r="S312" s="130"/>
      <c r="T312" s="130"/>
      <c r="U312" s="130"/>
      <c r="V312" s="130"/>
      <c r="W312" s="130"/>
      <c r="X312" s="130"/>
    </row>
    <row r="313" spans="2:24" ht="12" customHeight="1" x14ac:dyDescent="0.2">
      <c r="B313" s="130"/>
      <c r="C313" s="130"/>
      <c r="D313" s="130"/>
      <c r="E313" s="130"/>
      <c r="F313" s="130"/>
      <c r="G313" s="130"/>
      <c r="H313" s="130"/>
      <c r="I313" s="130"/>
      <c r="J313" s="130"/>
      <c r="K313" s="130"/>
      <c r="L313" s="130"/>
      <c r="M313" s="130"/>
      <c r="N313" s="130"/>
      <c r="O313" s="130"/>
      <c r="P313" s="130"/>
      <c r="Q313" s="130"/>
      <c r="R313" s="130"/>
      <c r="S313" s="130"/>
      <c r="T313" s="130"/>
      <c r="U313" s="130"/>
      <c r="V313" s="130"/>
      <c r="W313" s="130"/>
      <c r="X313" s="130"/>
    </row>
    <row r="314" spans="2:24" ht="12" customHeight="1" x14ac:dyDescent="0.2">
      <c r="B314" s="130"/>
      <c r="C314" s="130"/>
      <c r="D314" s="130"/>
      <c r="E314" s="130"/>
      <c r="F314" s="130"/>
      <c r="G314" s="130"/>
      <c r="H314" s="130"/>
      <c r="I314" s="130"/>
      <c r="J314" s="130"/>
      <c r="K314" s="130"/>
      <c r="L314" s="130"/>
      <c r="M314" s="130"/>
      <c r="N314" s="130"/>
      <c r="O314" s="130"/>
      <c r="P314" s="130"/>
      <c r="Q314" s="130"/>
      <c r="R314" s="130"/>
      <c r="S314" s="130"/>
      <c r="T314" s="130"/>
      <c r="U314" s="130"/>
      <c r="V314" s="130"/>
      <c r="W314" s="130"/>
      <c r="X314" s="130"/>
    </row>
    <row r="315" spans="2:24" ht="12" customHeight="1" x14ac:dyDescent="0.2">
      <c r="B315" s="130"/>
      <c r="C315" s="130"/>
      <c r="D315" s="130"/>
      <c r="E315" s="130"/>
      <c r="F315" s="130"/>
      <c r="G315" s="130"/>
      <c r="H315" s="130"/>
      <c r="I315" s="130"/>
      <c r="J315" s="130"/>
      <c r="K315" s="130"/>
      <c r="L315" s="130"/>
      <c r="M315" s="130"/>
      <c r="N315" s="130"/>
      <c r="O315" s="130"/>
      <c r="P315" s="130"/>
      <c r="Q315" s="130"/>
      <c r="R315" s="130"/>
      <c r="S315" s="130"/>
      <c r="T315" s="130"/>
      <c r="U315" s="130"/>
      <c r="V315" s="130"/>
      <c r="W315" s="130"/>
      <c r="X315" s="130"/>
    </row>
    <row r="316" spans="2:24" ht="12" customHeight="1" x14ac:dyDescent="0.2">
      <c r="B316" s="130"/>
      <c r="C316" s="130"/>
      <c r="D316" s="130"/>
      <c r="E316" s="130"/>
      <c r="F316" s="130"/>
      <c r="G316" s="130"/>
      <c r="H316" s="130"/>
      <c r="I316" s="130"/>
      <c r="J316" s="130"/>
      <c r="K316" s="130"/>
      <c r="L316" s="130"/>
      <c r="M316" s="130"/>
      <c r="N316" s="130"/>
      <c r="O316" s="130"/>
      <c r="P316" s="130"/>
      <c r="Q316" s="130"/>
      <c r="R316" s="130"/>
      <c r="S316" s="130"/>
      <c r="T316" s="130"/>
      <c r="U316" s="130"/>
      <c r="V316" s="130"/>
      <c r="W316" s="130"/>
      <c r="X316" s="130"/>
    </row>
    <row r="317" spans="2:24" ht="12" customHeight="1" x14ac:dyDescent="0.2">
      <c r="B317" s="130"/>
      <c r="C317" s="130"/>
      <c r="D317" s="130"/>
      <c r="E317" s="130"/>
      <c r="F317" s="130"/>
      <c r="G317" s="130"/>
      <c r="H317" s="130"/>
      <c r="I317" s="130"/>
      <c r="J317" s="130"/>
      <c r="K317" s="130"/>
      <c r="L317" s="130"/>
      <c r="M317" s="130"/>
      <c r="N317" s="130"/>
      <c r="O317" s="130"/>
      <c r="P317" s="130"/>
      <c r="Q317" s="130"/>
      <c r="R317" s="130"/>
      <c r="S317" s="130"/>
      <c r="T317" s="130"/>
      <c r="U317" s="130"/>
      <c r="V317" s="130"/>
      <c r="W317" s="130"/>
      <c r="X317" s="130"/>
    </row>
    <row r="318" spans="2:24" ht="12" customHeight="1" x14ac:dyDescent="0.2">
      <c r="B318" s="130"/>
      <c r="C318" s="130"/>
      <c r="D318" s="130"/>
      <c r="E318" s="130"/>
      <c r="F318" s="130"/>
      <c r="G318" s="130"/>
      <c r="H318" s="130"/>
      <c r="I318" s="130"/>
      <c r="J318" s="130"/>
      <c r="K318" s="130"/>
      <c r="L318" s="130"/>
      <c r="M318" s="130"/>
      <c r="N318" s="130"/>
      <c r="O318" s="130"/>
      <c r="P318" s="130"/>
      <c r="Q318" s="130"/>
      <c r="R318" s="130"/>
      <c r="S318" s="130"/>
      <c r="T318" s="130"/>
      <c r="U318" s="130"/>
      <c r="V318" s="130"/>
      <c r="W318" s="130"/>
      <c r="X318" s="130"/>
    </row>
    <row r="319" spans="2:24" ht="12" customHeight="1" x14ac:dyDescent="0.2">
      <c r="B319" s="130"/>
      <c r="C319" s="130"/>
      <c r="D319" s="130"/>
      <c r="E319" s="130"/>
      <c r="F319" s="130"/>
      <c r="G319" s="130"/>
      <c r="H319" s="130"/>
      <c r="I319" s="130"/>
      <c r="J319" s="130"/>
      <c r="K319" s="130"/>
      <c r="L319" s="130"/>
      <c r="M319" s="130"/>
      <c r="N319" s="130"/>
      <c r="O319" s="130"/>
      <c r="P319" s="130"/>
      <c r="Q319" s="130"/>
      <c r="R319" s="130"/>
      <c r="S319" s="130"/>
      <c r="T319" s="130"/>
      <c r="U319" s="130"/>
      <c r="V319" s="130"/>
      <c r="W319" s="130"/>
      <c r="X319" s="130"/>
    </row>
    <row r="320" spans="2:24" ht="12" customHeight="1" x14ac:dyDescent="0.2">
      <c r="B320" s="130"/>
      <c r="C320" s="130"/>
      <c r="D320" s="130"/>
      <c r="E320" s="130"/>
      <c r="F320" s="130"/>
      <c r="G320" s="130"/>
      <c r="H320" s="130"/>
      <c r="I320" s="130"/>
      <c r="J320" s="130"/>
      <c r="K320" s="130"/>
      <c r="L320" s="130"/>
      <c r="M320" s="130"/>
      <c r="N320" s="130"/>
      <c r="O320" s="130"/>
      <c r="P320" s="130"/>
      <c r="Q320" s="130"/>
      <c r="R320" s="130"/>
      <c r="S320" s="130"/>
      <c r="T320" s="130"/>
      <c r="U320" s="130"/>
      <c r="V320" s="130"/>
      <c r="W320" s="130"/>
      <c r="X320" s="130"/>
    </row>
    <row r="321" spans="2:24" ht="12" customHeight="1" x14ac:dyDescent="0.2">
      <c r="B321" s="130"/>
      <c r="C321" s="130"/>
      <c r="D321" s="130"/>
      <c r="E321" s="130"/>
      <c r="F321" s="130"/>
      <c r="G321" s="130"/>
      <c r="H321" s="130"/>
      <c r="I321" s="130"/>
      <c r="J321" s="130"/>
      <c r="K321" s="130"/>
      <c r="L321" s="130"/>
      <c r="M321" s="130"/>
      <c r="N321" s="130"/>
      <c r="O321" s="130"/>
      <c r="P321" s="130"/>
      <c r="Q321" s="130"/>
      <c r="R321" s="130"/>
      <c r="S321" s="130"/>
      <c r="T321" s="130"/>
      <c r="U321" s="130"/>
      <c r="V321" s="130"/>
      <c r="W321" s="130"/>
      <c r="X321" s="130"/>
    </row>
    <row r="322" spans="2:24" ht="12" customHeight="1" x14ac:dyDescent="0.2">
      <c r="B322" s="130"/>
      <c r="C322" s="130"/>
      <c r="D322" s="130"/>
      <c r="E322" s="130"/>
      <c r="F322" s="130"/>
      <c r="G322" s="130"/>
      <c r="H322" s="130"/>
      <c r="I322" s="130"/>
      <c r="J322" s="130"/>
      <c r="K322" s="130"/>
      <c r="L322" s="130"/>
      <c r="M322" s="130"/>
      <c r="N322" s="130"/>
      <c r="O322" s="130"/>
      <c r="P322" s="130"/>
      <c r="Q322" s="130"/>
      <c r="R322" s="130"/>
      <c r="S322" s="130"/>
      <c r="T322" s="130"/>
      <c r="U322" s="130"/>
      <c r="V322" s="130"/>
      <c r="W322" s="130"/>
      <c r="X322" s="130"/>
    </row>
    <row r="323" spans="2:24" ht="12" customHeight="1" x14ac:dyDescent="0.2">
      <c r="B323" s="130"/>
      <c r="C323" s="130"/>
      <c r="D323" s="130"/>
      <c r="E323" s="130"/>
      <c r="F323" s="130"/>
      <c r="G323" s="130"/>
      <c r="H323" s="130"/>
      <c r="I323" s="130"/>
      <c r="J323" s="130"/>
      <c r="K323" s="130"/>
      <c r="L323" s="130"/>
      <c r="M323" s="130"/>
      <c r="N323" s="130"/>
      <c r="O323" s="130"/>
      <c r="P323" s="130"/>
      <c r="Q323" s="130"/>
      <c r="R323" s="130"/>
      <c r="S323" s="130"/>
      <c r="T323" s="130"/>
      <c r="U323" s="130"/>
      <c r="V323" s="130"/>
      <c r="W323" s="130"/>
      <c r="X323" s="130"/>
    </row>
    <row r="324" spans="2:24" ht="12" customHeight="1" x14ac:dyDescent="0.2">
      <c r="B324" s="130"/>
      <c r="C324" s="130"/>
      <c r="D324" s="130"/>
      <c r="E324" s="130"/>
      <c r="F324" s="130"/>
      <c r="G324" s="130"/>
      <c r="H324" s="130"/>
      <c r="I324" s="130"/>
      <c r="J324" s="130"/>
      <c r="K324" s="130"/>
      <c r="L324" s="130"/>
      <c r="M324" s="130"/>
      <c r="N324" s="130"/>
      <c r="O324" s="130"/>
      <c r="P324" s="130"/>
      <c r="Q324" s="130"/>
      <c r="R324" s="130"/>
      <c r="S324" s="130"/>
      <c r="T324" s="130"/>
      <c r="U324" s="130"/>
      <c r="V324" s="130"/>
      <c r="W324" s="130"/>
      <c r="X324" s="130"/>
    </row>
    <row r="325" spans="2:24" ht="12" customHeight="1" x14ac:dyDescent="0.2">
      <c r="B325" s="130"/>
      <c r="C325" s="130"/>
      <c r="D325" s="130"/>
      <c r="E325" s="130"/>
      <c r="F325" s="130"/>
      <c r="G325" s="130"/>
      <c r="H325" s="130"/>
      <c r="I325" s="130"/>
      <c r="J325" s="130"/>
      <c r="K325" s="130"/>
      <c r="L325" s="130"/>
      <c r="M325" s="130"/>
      <c r="N325" s="130"/>
      <c r="O325" s="130"/>
      <c r="P325" s="130"/>
      <c r="Q325" s="130"/>
      <c r="R325" s="130"/>
      <c r="S325" s="130"/>
      <c r="T325" s="130"/>
      <c r="U325" s="130"/>
      <c r="V325" s="130"/>
      <c r="W325" s="130"/>
      <c r="X325" s="130"/>
    </row>
    <row r="326" spans="2:24" ht="12" customHeight="1" x14ac:dyDescent="0.2">
      <c r="B326" s="130"/>
      <c r="C326" s="130"/>
      <c r="D326" s="130"/>
      <c r="E326" s="130"/>
      <c r="F326" s="130"/>
      <c r="G326" s="130"/>
      <c r="H326" s="130"/>
      <c r="I326" s="130"/>
      <c r="J326" s="130"/>
      <c r="K326" s="130"/>
      <c r="L326" s="130"/>
      <c r="M326" s="130"/>
      <c r="N326" s="130"/>
      <c r="O326" s="130"/>
      <c r="P326" s="130"/>
      <c r="Q326" s="130"/>
      <c r="R326" s="130"/>
      <c r="S326" s="130"/>
      <c r="T326" s="130"/>
      <c r="U326" s="130"/>
      <c r="V326" s="130"/>
      <c r="W326" s="130"/>
      <c r="X326" s="130"/>
    </row>
    <row r="327" spans="2:24" ht="12" customHeight="1" x14ac:dyDescent="0.2">
      <c r="B327" s="130"/>
      <c r="C327" s="130"/>
      <c r="D327" s="130"/>
      <c r="E327" s="130"/>
      <c r="F327" s="130"/>
      <c r="G327" s="130"/>
      <c r="H327" s="130"/>
      <c r="I327" s="130"/>
      <c r="J327" s="130"/>
      <c r="K327" s="130"/>
      <c r="L327" s="130"/>
      <c r="M327" s="130"/>
      <c r="N327" s="130"/>
      <c r="O327" s="130"/>
      <c r="P327" s="130"/>
      <c r="Q327" s="130"/>
      <c r="R327" s="130"/>
      <c r="S327" s="130"/>
      <c r="T327" s="130"/>
      <c r="U327" s="130"/>
      <c r="V327" s="130"/>
      <c r="W327" s="130"/>
      <c r="X327" s="130"/>
    </row>
    <row r="328" spans="2:24" ht="12" customHeight="1" x14ac:dyDescent="0.2">
      <c r="B328" s="130"/>
      <c r="C328" s="130"/>
      <c r="D328" s="130"/>
      <c r="E328" s="130"/>
      <c r="F328" s="130"/>
      <c r="G328" s="130"/>
      <c r="H328" s="130"/>
      <c r="I328" s="130"/>
      <c r="J328" s="130"/>
      <c r="K328" s="130"/>
      <c r="L328" s="130"/>
      <c r="M328" s="130"/>
      <c r="N328" s="130"/>
      <c r="O328" s="130"/>
      <c r="P328" s="130"/>
      <c r="Q328" s="130"/>
      <c r="R328" s="130"/>
      <c r="S328" s="130"/>
      <c r="T328" s="130"/>
      <c r="U328" s="130"/>
      <c r="V328" s="130"/>
      <c r="W328" s="130"/>
      <c r="X328" s="130"/>
    </row>
    <row r="329" spans="2:24" ht="12" customHeight="1" x14ac:dyDescent="0.2">
      <c r="B329" s="130"/>
      <c r="C329" s="130"/>
      <c r="D329" s="130"/>
      <c r="E329" s="130"/>
      <c r="F329" s="130"/>
      <c r="G329" s="130"/>
      <c r="H329" s="130"/>
      <c r="I329" s="130"/>
      <c r="J329" s="130"/>
      <c r="K329" s="130"/>
      <c r="L329" s="130"/>
      <c r="M329" s="130"/>
      <c r="N329" s="130"/>
      <c r="O329" s="130"/>
      <c r="P329" s="130"/>
      <c r="Q329" s="130"/>
      <c r="R329" s="130"/>
      <c r="S329" s="130"/>
      <c r="T329" s="130"/>
      <c r="U329" s="130"/>
      <c r="V329" s="130"/>
      <c r="W329" s="130"/>
      <c r="X329" s="130"/>
    </row>
    <row r="330" spans="2:24" ht="12" customHeight="1" x14ac:dyDescent="0.2">
      <c r="B330" s="130"/>
      <c r="C330" s="130"/>
      <c r="D330" s="130"/>
      <c r="E330" s="130"/>
      <c r="F330" s="130"/>
      <c r="G330" s="130"/>
      <c r="H330" s="130"/>
      <c r="I330" s="130"/>
      <c r="J330" s="130"/>
      <c r="K330" s="130"/>
      <c r="L330" s="130"/>
      <c r="M330" s="130"/>
      <c r="N330" s="130"/>
      <c r="O330" s="130"/>
      <c r="P330" s="130"/>
      <c r="Q330" s="130"/>
      <c r="R330" s="130"/>
      <c r="S330" s="130"/>
      <c r="T330" s="130"/>
      <c r="U330" s="130"/>
      <c r="V330" s="130"/>
      <c r="W330" s="130"/>
      <c r="X330" s="130"/>
    </row>
    <row r="331" spans="2:24" ht="12" customHeight="1" x14ac:dyDescent="0.2">
      <c r="B331" s="130"/>
      <c r="C331" s="130"/>
      <c r="D331" s="130"/>
      <c r="E331" s="130"/>
      <c r="F331" s="130"/>
      <c r="G331" s="130"/>
      <c r="H331" s="130"/>
      <c r="I331" s="130"/>
      <c r="J331" s="130"/>
      <c r="K331" s="130"/>
      <c r="L331" s="130"/>
      <c r="M331" s="130"/>
      <c r="N331" s="130"/>
      <c r="O331" s="130"/>
      <c r="P331" s="130"/>
      <c r="Q331" s="130"/>
      <c r="R331" s="130"/>
      <c r="S331" s="130"/>
      <c r="T331" s="130"/>
      <c r="U331" s="130"/>
      <c r="V331" s="130"/>
      <c r="W331" s="130"/>
      <c r="X331" s="130"/>
    </row>
    <row r="332" spans="2:24" ht="12" customHeight="1" x14ac:dyDescent="0.2">
      <c r="B332" s="130"/>
      <c r="C332" s="130"/>
      <c r="D332" s="130"/>
      <c r="E332" s="130"/>
      <c r="F332" s="130"/>
      <c r="G332" s="130"/>
      <c r="H332" s="130"/>
      <c r="I332" s="130"/>
      <c r="J332" s="130"/>
      <c r="K332" s="130"/>
      <c r="L332" s="130"/>
      <c r="M332" s="130"/>
      <c r="N332" s="130"/>
      <c r="O332" s="130"/>
      <c r="P332" s="130"/>
      <c r="Q332" s="130"/>
      <c r="R332" s="130"/>
      <c r="S332" s="130"/>
      <c r="T332" s="130"/>
      <c r="U332" s="130"/>
      <c r="V332" s="130"/>
      <c r="W332" s="130"/>
      <c r="X332" s="130"/>
    </row>
    <row r="333" spans="2:24" ht="12" customHeight="1" x14ac:dyDescent="0.2">
      <c r="B333" s="130"/>
      <c r="C333" s="130"/>
      <c r="D333" s="130"/>
      <c r="E333" s="130"/>
      <c r="F333" s="130"/>
      <c r="G333" s="130"/>
      <c r="H333" s="130"/>
      <c r="I333" s="130"/>
      <c r="J333" s="130"/>
      <c r="K333" s="130"/>
      <c r="L333" s="130"/>
      <c r="M333" s="130"/>
      <c r="N333" s="130"/>
      <c r="O333" s="130"/>
      <c r="P333" s="130"/>
      <c r="Q333" s="130"/>
      <c r="R333" s="130"/>
      <c r="S333" s="130"/>
      <c r="T333" s="130"/>
      <c r="U333" s="130"/>
      <c r="V333" s="130"/>
      <c r="W333" s="130"/>
      <c r="X333" s="130"/>
    </row>
    <row r="334" spans="2:24" ht="12" customHeight="1" x14ac:dyDescent="0.2">
      <c r="B334" s="130"/>
      <c r="C334" s="130"/>
      <c r="D334" s="130"/>
      <c r="E334" s="130"/>
      <c r="F334" s="130"/>
      <c r="G334" s="130"/>
      <c r="H334" s="130"/>
      <c r="I334" s="130"/>
      <c r="J334" s="130"/>
      <c r="K334" s="130"/>
      <c r="L334" s="130"/>
      <c r="M334" s="130"/>
      <c r="N334" s="130"/>
      <c r="O334" s="130"/>
      <c r="P334" s="130"/>
      <c r="Q334" s="130"/>
      <c r="R334" s="130"/>
      <c r="S334" s="130"/>
      <c r="T334" s="130"/>
      <c r="U334" s="130"/>
      <c r="V334" s="130"/>
      <c r="W334" s="130"/>
      <c r="X334" s="130"/>
    </row>
    <row r="335" spans="2:24" ht="12" customHeight="1" x14ac:dyDescent="0.2">
      <c r="B335" s="130"/>
      <c r="C335" s="130"/>
      <c r="D335" s="130"/>
      <c r="E335" s="130"/>
      <c r="F335" s="130"/>
      <c r="G335" s="130"/>
      <c r="H335" s="130"/>
      <c r="I335" s="130"/>
      <c r="J335" s="130"/>
      <c r="K335" s="130"/>
      <c r="L335" s="130"/>
      <c r="M335" s="130"/>
      <c r="N335" s="130"/>
      <c r="O335" s="130"/>
      <c r="P335" s="130"/>
      <c r="Q335" s="130"/>
      <c r="R335" s="130"/>
      <c r="S335" s="130"/>
      <c r="T335" s="130"/>
      <c r="U335" s="130"/>
      <c r="V335" s="130"/>
      <c r="W335" s="130"/>
      <c r="X335" s="130"/>
    </row>
    <row r="336" spans="2:24" ht="12" customHeight="1" x14ac:dyDescent="0.2">
      <c r="B336" s="130"/>
      <c r="C336" s="130"/>
      <c r="D336" s="130"/>
      <c r="E336" s="130"/>
      <c r="F336" s="130"/>
      <c r="G336" s="130"/>
      <c r="H336" s="130"/>
      <c r="I336" s="130"/>
      <c r="J336" s="130"/>
      <c r="K336" s="130"/>
      <c r="L336" s="130"/>
      <c r="M336" s="130"/>
      <c r="N336" s="130"/>
      <c r="O336" s="130"/>
      <c r="P336" s="130"/>
      <c r="Q336" s="130"/>
      <c r="R336" s="130"/>
      <c r="S336" s="130"/>
      <c r="T336" s="130"/>
      <c r="U336" s="130"/>
      <c r="V336" s="130"/>
      <c r="W336" s="130"/>
      <c r="X336" s="130"/>
    </row>
    <row r="337" spans="2:42" ht="12" customHeight="1" x14ac:dyDescent="0.2">
      <c r="B337" s="130"/>
      <c r="C337" s="130"/>
      <c r="D337" s="130"/>
      <c r="E337" s="130"/>
      <c r="F337" s="130"/>
      <c r="G337" s="130"/>
      <c r="H337" s="130"/>
      <c r="I337" s="130"/>
      <c r="J337" s="130"/>
      <c r="K337" s="130"/>
      <c r="L337" s="130"/>
      <c r="M337" s="130"/>
      <c r="N337" s="130"/>
      <c r="O337" s="130"/>
      <c r="P337" s="130"/>
      <c r="Q337" s="130"/>
      <c r="R337" s="130"/>
      <c r="S337" s="130"/>
      <c r="T337" s="130"/>
      <c r="U337" s="130"/>
      <c r="V337" s="130"/>
      <c r="W337" s="130"/>
      <c r="X337" s="130"/>
    </row>
    <row r="338" spans="2:42" ht="12" customHeight="1" x14ac:dyDescent="0.2">
      <c r="B338" s="130"/>
      <c r="C338" s="130"/>
      <c r="D338" s="130"/>
      <c r="E338" s="130"/>
      <c r="F338" s="130"/>
      <c r="G338" s="130"/>
      <c r="H338" s="130"/>
      <c r="I338" s="130"/>
      <c r="J338" s="130"/>
      <c r="K338" s="130"/>
      <c r="L338" s="130"/>
      <c r="M338" s="130"/>
      <c r="N338" s="130"/>
      <c r="O338" s="130"/>
      <c r="P338" s="130"/>
      <c r="Q338" s="130"/>
      <c r="R338" s="130"/>
      <c r="S338" s="130"/>
      <c r="T338" s="130"/>
      <c r="U338" s="130"/>
      <c r="V338" s="130"/>
      <c r="W338" s="130"/>
      <c r="X338" s="130"/>
    </row>
    <row r="339" spans="2:42" ht="12" customHeight="1" x14ac:dyDescent="0.2">
      <c r="B339" s="130"/>
      <c r="C339" s="130"/>
      <c r="D339" s="130"/>
      <c r="E339" s="130"/>
      <c r="F339" s="130"/>
      <c r="G339" s="130"/>
      <c r="H339" s="130"/>
      <c r="I339" s="130"/>
      <c r="J339" s="130"/>
      <c r="K339" s="130"/>
      <c r="L339" s="130"/>
      <c r="M339" s="130"/>
      <c r="N339" s="130"/>
      <c r="O339" s="130"/>
      <c r="P339" s="130"/>
      <c r="Q339" s="130"/>
      <c r="R339" s="130"/>
      <c r="S339" s="130"/>
      <c r="T339" s="130"/>
      <c r="U339" s="130"/>
      <c r="V339" s="130"/>
      <c r="W339" s="130"/>
      <c r="X339" s="130"/>
    </row>
    <row r="340" spans="2:42" ht="12" customHeight="1" x14ac:dyDescent="0.2">
      <c r="B340" s="130"/>
      <c r="C340" s="130"/>
      <c r="D340" s="130"/>
      <c r="E340" s="130"/>
      <c r="F340" s="130"/>
      <c r="G340" s="130"/>
      <c r="H340" s="130"/>
      <c r="I340" s="130"/>
      <c r="J340" s="130"/>
      <c r="K340" s="130"/>
      <c r="L340" s="130"/>
      <c r="M340" s="130"/>
      <c r="N340" s="130"/>
      <c r="O340" s="130"/>
      <c r="P340" s="130"/>
      <c r="Q340" s="130"/>
      <c r="R340" s="130"/>
      <c r="S340" s="130"/>
      <c r="T340" s="130"/>
      <c r="U340" s="130"/>
      <c r="V340" s="130"/>
      <c r="W340" s="130"/>
      <c r="X340" s="130"/>
    </row>
    <row r="341" spans="2:42" ht="12" customHeight="1" x14ac:dyDescent="0.2">
      <c r="B341" s="130"/>
      <c r="C341" s="130"/>
      <c r="D341" s="130"/>
      <c r="E341" s="130"/>
      <c r="F341" s="130"/>
      <c r="G341" s="130"/>
      <c r="H341" s="130"/>
      <c r="I341" s="130"/>
      <c r="J341" s="130"/>
      <c r="K341" s="130"/>
      <c r="L341" s="130"/>
      <c r="M341" s="130"/>
      <c r="N341" s="130"/>
      <c r="O341" s="130"/>
      <c r="P341" s="130"/>
      <c r="Q341" s="130"/>
      <c r="R341" s="130"/>
      <c r="S341" s="130"/>
      <c r="T341" s="130"/>
      <c r="U341" s="130"/>
      <c r="V341" s="130"/>
      <c r="W341" s="130"/>
      <c r="X341" s="130"/>
    </row>
    <row r="342" spans="2:42" ht="12" customHeight="1" x14ac:dyDescent="0.2">
      <c r="B342" s="130"/>
      <c r="C342" s="130"/>
      <c r="D342" s="130"/>
      <c r="E342" s="130"/>
      <c r="F342" s="130"/>
      <c r="G342" s="130"/>
      <c r="H342" s="130"/>
      <c r="I342" s="130"/>
      <c r="J342" s="130"/>
      <c r="K342" s="130"/>
      <c r="L342" s="130"/>
      <c r="M342" s="130"/>
      <c r="N342" s="130"/>
      <c r="O342" s="130"/>
      <c r="P342" s="130"/>
      <c r="Q342" s="130"/>
      <c r="R342" s="130"/>
      <c r="S342" s="130"/>
      <c r="T342" s="130"/>
      <c r="U342" s="130"/>
      <c r="V342" s="130"/>
      <c r="W342" s="130"/>
      <c r="X342" s="130"/>
    </row>
    <row r="343" spans="2:42" ht="12" customHeight="1" x14ac:dyDescent="0.2">
      <c r="B343" s="130"/>
      <c r="C343" s="130"/>
      <c r="D343" s="130"/>
      <c r="E343" s="130"/>
      <c r="F343" s="130"/>
      <c r="G343" s="130"/>
      <c r="H343" s="130"/>
      <c r="I343" s="130"/>
      <c r="J343" s="130"/>
      <c r="K343" s="130"/>
      <c r="L343" s="130"/>
      <c r="M343" s="130"/>
      <c r="N343" s="130"/>
      <c r="O343" s="130"/>
      <c r="P343" s="130"/>
      <c r="Q343" s="130"/>
      <c r="R343" s="130"/>
      <c r="S343" s="130"/>
      <c r="T343" s="130"/>
      <c r="U343" s="130"/>
      <c r="V343" s="130"/>
      <c r="W343" s="130"/>
      <c r="X343" s="130"/>
    </row>
    <row r="344" spans="2:42" ht="12" customHeight="1" x14ac:dyDescent="0.2">
      <c r="B344" s="130"/>
      <c r="C344" s="130"/>
      <c r="D344" s="130"/>
      <c r="E344" s="130"/>
      <c r="F344" s="130"/>
      <c r="G344" s="130"/>
      <c r="H344" s="130"/>
      <c r="I344" s="130"/>
      <c r="J344" s="130"/>
      <c r="K344" s="130"/>
      <c r="L344" s="130"/>
      <c r="M344" s="130"/>
      <c r="N344" s="130"/>
      <c r="O344" s="130"/>
      <c r="P344" s="130"/>
      <c r="Q344" s="130"/>
      <c r="R344" s="130"/>
      <c r="S344" s="130"/>
      <c r="T344" s="130"/>
      <c r="U344" s="130"/>
      <c r="V344" s="130"/>
      <c r="W344" s="130"/>
      <c r="X344" s="130"/>
    </row>
    <row r="345" spans="2:42" ht="12" customHeight="1" x14ac:dyDescent="0.2">
      <c r="B345" s="130"/>
      <c r="C345" s="130"/>
      <c r="D345" s="130"/>
      <c r="E345" s="130"/>
      <c r="F345" s="130"/>
      <c r="G345" s="130"/>
      <c r="H345" s="130"/>
      <c r="I345" s="130"/>
      <c r="J345" s="130"/>
      <c r="K345" s="130"/>
      <c r="L345" s="130"/>
      <c r="M345" s="130"/>
      <c r="N345" s="130"/>
      <c r="O345" s="130"/>
      <c r="P345" s="130"/>
      <c r="Q345" s="130"/>
      <c r="R345" s="130"/>
      <c r="S345" s="130"/>
      <c r="T345" s="130"/>
      <c r="U345" s="130"/>
      <c r="V345" s="130"/>
      <c r="W345" s="130"/>
      <c r="X345" s="130"/>
    </row>
    <row r="346" spans="2:42" ht="12" customHeight="1" x14ac:dyDescent="0.2">
      <c r="B346" s="130"/>
      <c r="C346" s="130"/>
      <c r="D346" s="130"/>
      <c r="E346" s="130"/>
      <c r="F346" s="130"/>
      <c r="G346" s="130"/>
      <c r="H346" s="130"/>
      <c r="I346" s="130"/>
      <c r="J346" s="130"/>
      <c r="K346" s="130"/>
      <c r="L346" s="130"/>
      <c r="M346" s="130"/>
      <c r="N346" s="130"/>
      <c r="O346" s="130"/>
      <c r="P346" s="130"/>
      <c r="Q346" s="130"/>
      <c r="R346" s="130"/>
      <c r="S346" s="130"/>
      <c r="T346" s="130"/>
      <c r="U346" s="130"/>
      <c r="V346" s="130"/>
      <c r="W346" s="130"/>
      <c r="X346" s="130"/>
    </row>
    <row r="347" spans="2:42" ht="12" customHeight="1" x14ac:dyDescent="0.2">
      <c r="B347" s="130"/>
      <c r="C347" s="130"/>
      <c r="D347" s="130"/>
      <c r="E347" s="130"/>
      <c r="F347" s="130"/>
      <c r="G347" s="130"/>
      <c r="H347" s="130"/>
      <c r="I347" s="130"/>
      <c r="J347" s="130"/>
      <c r="K347" s="130"/>
      <c r="L347" s="130"/>
      <c r="M347" s="130"/>
      <c r="N347" s="130"/>
      <c r="O347" s="130"/>
      <c r="P347" s="130"/>
      <c r="Q347" s="130"/>
      <c r="R347" s="130"/>
      <c r="S347" s="130"/>
      <c r="T347" s="130"/>
      <c r="U347" s="130"/>
      <c r="V347" s="130"/>
      <c r="W347" s="130"/>
      <c r="X347" s="130"/>
    </row>
    <row r="348" spans="2:42" ht="12" customHeight="1" x14ac:dyDescent="0.2">
      <c r="B348" s="130"/>
      <c r="C348" s="130"/>
      <c r="D348" s="130"/>
      <c r="E348" s="130"/>
      <c r="F348" s="130"/>
      <c r="G348" s="130"/>
      <c r="H348" s="130"/>
      <c r="I348" s="130"/>
      <c r="J348" s="130"/>
      <c r="K348" s="130"/>
      <c r="L348" s="130"/>
      <c r="M348" s="130"/>
      <c r="N348" s="130"/>
      <c r="O348" s="130"/>
      <c r="P348" s="130"/>
      <c r="Q348" s="130"/>
      <c r="R348" s="130"/>
      <c r="S348" s="130"/>
      <c r="T348" s="130"/>
      <c r="U348" s="130"/>
      <c r="V348" s="130"/>
      <c r="W348" s="130"/>
      <c r="X348" s="130"/>
    </row>
    <row r="349" spans="2:42" ht="12" customHeight="1" x14ac:dyDescent="0.2">
      <c r="B349" s="130"/>
      <c r="C349" s="130"/>
      <c r="D349" s="130"/>
      <c r="E349" s="130"/>
      <c r="F349" s="130"/>
      <c r="G349" s="130"/>
      <c r="H349" s="130"/>
      <c r="I349" s="130"/>
      <c r="J349" s="130"/>
      <c r="K349" s="130"/>
      <c r="L349" s="130"/>
      <c r="M349" s="130"/>
      <c r="N349" s="130"/>
      <c r="O349" s="130"/>
      <c r="P349" s="130"/>
      <c r="Q349" s="130"/>
      <c r="R349" s="130"/>
      <c r="S349" s="130"/>
      <c r="T349" s="130"/>
      <c r="U349" s="130"/>
      <c r="V349" s="130"/>
      <c r="W349" s="130"/>
      <c r="X349" s="130"/>
    </row>
    <row r="350" spans="2:42" ht="12" customHeight="1" x14ac:dyDescent="0.2">
      <c r="B350" s="130"/>
      <c r="C350" s="130"/>
      <c r="D350" s="130"/>
      <c r="E350" s="130"/>
      <c r="F350" s="130"/>
      <c r="G350" s="130"/>
      <c r="H350" s="130"/>
      <c r="I350" s="130"/>
      <c r="J350" s="130"/>
      <c r="K350" s="130"/>
      <c r="L350" s="130"/>
      <c r="M350" s="130"/>
      <c r="N350" s="130"/>
      <c r="O350" s="130"/>
      <c r="P350" s="130"/>
      <c r="Q350" s="130"/>
      <c r="R350" s="130"/>
      <c r="S350" s="130"/>
      <c r="T350" s="130"/>
      <c r="U350" s="130"/>
      <c r="V350" s="130"/>
      <c r="W350" s="130"/>
      <c r="X350" s="130"/>
      <c r="AP350" s="19" t="s">
        <v>68</v>
      </c>
    </row>
  </sheetData>
  <customSheetViews>
    <customSheetView guid="{22025D35-FBC9-4749-A019-EF1F1F0642C2}" scale="85" fitToPage="1" state="hidden">
      <selection activeCell="A6" sqref="A6:XFD6"/>
      <pageMargins left="1.6929133858267718" right="0.70866141732283472" top="0.74803149606299213" bottom="0.74803149606299213" header="0.31496062992125984" footer="0.31496062992125984"/>
      <pageSetup orientation="landscape" horizontalDpi="300" verticalDpi="300" r:id="rId1"/>
    </customSheetView>
  </customSheetViews>
  <mergeCells count="49">
    <mergeCell ref="B62:C62"/>
    <mergeCell ref="D62:H62"/>
    <mergeCell ref="AA52:AB52"/>
    <mergeCell ref="AE52:AF52"/>
    <mergeCell ref="AI52:AJ52"/>
    <mergeCell ref="C54:D54"/>
    <mergeCell ref="J55:K55"/>
    <mergeCell ref="P56:T56"/>
    <mergeCell ref="W50:X50"/>
    <mergeCell ref="AA50:AB50"/>
    <mergeCell ref="AE50:AF50"/>
    <mergeCell ref="AI50:AJ50"/>
    <mergeCell ref="C52:D52"/>
    <mergeCell ref="G52:H52"/>
    <mergeCell ref="K52:L52"/>
    <mergeCell ref="O52:P52"/>
    <mergeCell ref="S52:T52"/>
    <mergeCell ref="W52:X52"/>
    <mergeCell ref="C50:D50"/>
    <mergeCell ref="G50:H50"/>
    <mergeCell ref="K50:L50"/>
    <mergeCell ref="O50:P50"/>
    <mergeCell ref="S50:T50"/>
    <mergeCell ref="A44:B44"/>
    <mergeCell ref="A45:B45"/>
    <mergeCell ref="C49:D49"/>
    <mergeCell ref="G49:H49"/>
    <mergeCell ref="K49:L49"/>
    <mergeCell ref="O49:P49"/>
    <mergeCell ref="Z4:AB4"/>
    <mergeCell ref="AD4:AF4"/>
    <mergeCell ref="AH4:AJ4"/>
    <mergeCell ref="AM16:AN16"/>
    <mergeCell ref="S49:T49"/>
    <mergeCell ref="W49:X49"/>
    <mergeCell ref="AA49:AB49"/>
    <mergeCell ref="AE49:AF49"/>
    <mergeCell ref="AI49:AJ49"/>
    <mergeCell ref="A34:A35"/>
    <mergeCell ref="A36:A37"/>
    <mergeCell ref="C2:G2"/>
    <mergeCell ref="L2:N2"/>
    <mergeCell ref="T2:V2"/>
    <mergeCell ref="B4:D4"/>
    <mergeCell ref="F4:H4"/>
    <mergeCell ref="J4:L4"/>
    <mergeCell ref="N4:P4"/>
    <mergeCell ref="R4:T4"/>
    <mergeCell ref="V4:X4"/>
  </mergeCells>
  <pageMargins left="1.6929133858267718" right="0.70866141732283472" top="0.74803149606299213" bottom="0.74803149606299213" header="0.31496062992125984" footer="0.31496062992125984"/>
  <pageSetup orientation="landscape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Por Horas</vt:lpstr>
      <vt:lpstr>Por Departamento</vt:lpstr>
      <vt:lpstr>Por Departamento (2)</vt:lpstr>
      <vt:lpstr>'Por Departamento'!Área_de_impresión</vt:lpstr>
      <vt:lpstr>'Por Departamento (2)'!Área_de_impresión</vt:lpstr>
      <vt:lpstr>'Por Horas'!Área_de_impresión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Pombo</dc:creator>
  <cp:lastModifiedBy>EQSISTEMAS</cp:lastModifiedBy>
  <cp:lastPrinted>2015-07-31T13:42:43Z</cp:lastPrinted>
  <dcterms:created xsi:type="dcterms:W3CDTF">2014-01-29T01:56:01Z</dcterms:created>
  <dcterms:modified xsi:type="dcterms:W3CDTF">2015-07-31T21:00:13Z</dcterms:modified>
</cp:coreProperties>
</file>